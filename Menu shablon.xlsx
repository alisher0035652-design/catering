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atering\"/>
    </mc:Choice>
  </mc:AlternateContent>
  <xr:revisionPtr revIDLastSave="0" documentId="13_ncr:1_{ADC70FB1-CBEF-42E2-A0E7-A09661C8590B}" xr6:coauthVersionLast="47" xr6:coauthVersionMax="47" xr10:uidLastSave="{00000000-0000-0000-0000-000000000000}"/>
  <bookViews>
    <workbookView xWindow="-120" yWindow="-120" windowWidth="29040" windowHeight="15720" tabRatio="888" activeTab="8" xr2:uid="{00000000-000D-0000-FFFF-FFFF00000000}"/>
  </bookViews>
  <sheets>
    <sheet name="1" sheetId="57" r:id="rId1"/>
    <sheet name="2" sheetId="33" r:id="rId2"/>
    <sheet name="3" sheetId="34" r:id="rId3"/>
    <sheet name="4" sheetId="35" r:id="rId4"/>
    <sheet name="5" sheetId="36" r:id="rId5"/>
    <sheet name="6" sheetId="37" r:id="rId6"/>
    <sheet name="7" sheetId="38" r:id="rId7"/>
    <sheet name="8" sheetId="39" r:id="rId8"/>
    <sheet name="9" sheetId="42" r:id="rId9"/>
    <sheet name="10" sheetId="43" r:id="rId10"/>
  </sheets>
  <definedNames>
    <definedName name="_xlnm._FilterDatabase" localSheetId="0" hidden="1">'1'!$A$5:$CP$30</definedName>
    <definedName name="_xlnm._FilterDatabase" localSheetId="9" hidden="1">'10'!$A$5:$CL$30</definedName>
    <definedName name="_xlnm._FilterDatabase" localSheetId="1" hidden="1">'2'!$A$5:$CO$30</definedName>
    <definedName name="_xlnm._FilterDatabase" localSheetId="2" hidden="1">'3'!$A$5:$CO$30</definedName>
    <definedName name="_xlnm._FilterDatabase" localSheetId="3" hidden="1">'4'!$A$5:$CL$30</definedName>
    <definedName name="_xlnm._FilterDatabase" localSheetId="4" hidden="1">'5'!$A$5:$CL$30</definedName>
    <definedName name="_xlnm._FilterDatabase" localSheetId="5" hidden="1">'6'!$A$5:$CL$30</definedName>
    <definedName name="_xlnm._FilterDatabase" localSheetId="6" hidden="1">'7'!$A$5:$CL$30</definedName>
    <definedName name="_xlnm._FilterDatabase" localSheetId="7" hidden="1">'8'!$A$5:$CL$30</definedName>
    <definedName name="_xlnm._FilterDatabase" localSheetId="8" hidden="1">'9'!$A$5:$CL$30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43" l="1"/>
  <c r="F1" i="42"/>
  <c r="F1" i="39"/>
  <c r="F1" i="38"/>
  <c r="F1" i="37"/>
  <c r="CK27" i="43" l="1"/>
  <c r="CJ27" i="43"/>
  <c r="CI27" i="43"/>
  <c r="CH27" i="43"/>
  <c r="CG27" i="43"/>
  <c r="CF27" i="43"/>
  <c r="CE27" i="43"/>
  <c r="CD27" i="43"/>
  <c r="CC27" i="43"/>
  <c r="CB27" i="43"/>
  <c r="CA27" i="43"/>
  <c r="BZ27" i="43"/>
  <c r="BY27" i="43"/>
  <c r="BX27" i="43"/>
  <c r="BW27" i="43"/>
  <c r="BV27" i="43"/>
  <c r="BU27" i="43"/>
  <c r="BT27" i="43"/>
  <c r="BS27" i="43"/>
  <c r="BR27" i="43"/>
  <c r="BQ27" i="43"/>
  <c r="BP27" i="43"/>
  <c r="BO27" i="43"/>
  <c r="BN27" i="43"/>
  <c r="BM27" i="43"/>
  <c r="BL27" i="43"/>
  <c r="BK27" i="43"/>
  <c r="BJ27" i="43"/>
  <c r="BI27" i="43"/>
  <c r="BH27" i="43"/>
  <c r="BG27" i="43"/>
  <c r="BF27" i="43"/>
  <c r="BE27" i="43"/>
  <c r="BD27" i="43"/>
  <c r="BC27" i="43"/>
  <c r="BB27" i="43"/>
  <c r="BA27" i="43"/>
  <c r="AZ27" i="43"/>
  <c r="AY27" i="43"/>
  <c r="AX27" i="43"/>
  <c r="AW27" i="43"/>
  <c r="AV27" i="43"/>
  <c r="AU27" i="43"/>
  <c r="AT27" i="43"/>
  <c r="AS27" i="43"/>
  <c r="AR27" i="43"/>
  <c r="AQ27" i="43"/>
  <c r="AP27" i="43"/>
  <c r="AO27" i="43"/>
  <c r="AN27" i="43"/>
  <c r="AM27" i="43"/>
  <c r="AL27" i="43"/>
  <c r="AK27" i="43"/>
  <c r="AJ27" i="43"/>
  <c r="AI27" i="43"/>
  <c r="AH27" i="43"/>
  <c r="AG27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CL26" i="43"/>
  <c r="CL25" i="43"/>
  <c r="CL24" i="43"/>
  <c r="CL23" i="43"/>
  <c r="CL22" i="43"/>
  <c r="CL21" i="43"/>
  <c r="CL20" i="43"/>
  <c r="CL19" i="43"/>
  <c r="CL18" i="43"/>
  <c r="CL17" i="43"/>
  <c r="CL16" i="43"/>
  <c r="CL15" i="43"/>
  <c r="CL14" i="43"/>
  <c r="CL13" i="43"/>
  <c r="CL12" i="43"/>
  <c r="CL11" i="43"/>
  <c r="CL10" i="43"/>
  <c r="CL9" i="43"/>
  <c r="CL8" i="43"/>
  <c r="CL7" i="43"/>
  <c r="CL6" i="43"/>
  <c r="CK28" i="42"/>
  <c r="CJ28" i="42"/>
  <c r="CI28" i="42"/>
  <c r="CH28" i="42"/>
  <c r="CG28" i="42"/>
  <c r="CF28" i="42"/>
  <c r="CE28" i="42"/>
  <c r="CD28" i="42"/>
  <c r="CC28" i="42"/>
  <c r="CB28" i="42"/>
  <c r="CA28" i="42"/>
  <c r="BZ28" i="42"/>
  <c r="BY28" i="42"/>
  <c r="BX28" i="42"/>
  <c r="BW28" i="42"/>
  <c r="BV28" i="42"/>
  <c r="BU28" i="42"/>
  <c r="BT28" i="42"/>
  <c r="BS28" i="42"/>
  <c r="BR28" i="42"/>
  <c r="BQ28" i="42"/>
  <c r="BP28" i="42"/>
  <c r="BO28" i="42"/>
  <c r="BN28" i="42"/>
  <c r="BM28" i="42"/>
  <c r="BL28" i="42"/>
  <c r="BK28" i="42"/>
  <c r="BJ28" i="42"/>
  <c r="BI28" i="42"/>
  <c r="BH28" i="42"/>
  <c r="BG28" i="42"/>
  <c r="BF28" i="42"/>
  <c r="BE28" i="42"/>
  <c r="BD28" i="42"/>
  <c r="BC28" i="42"/>
  <c r="BB28" i="42"/>
  <c r="BA28" i="42"/>
  <c r="AZ28" i="42"/>
  <c r="AY28" i="42"/>
  <c r="AX28" i="42"/>
  <c r="AW28" i="42"/>
  <c r="AV28" i="42"/>
  <c r="AU28" i="42"/>
  <c r="AT28" i="42"/>
  <c r="AS28" i="42"/>
  <c r="AR28" i="42"/>
  <c r="AQ28" i="42"/>
  <c r="AP28" i="42"/>
  <c r="AO28" i="42"/>
  <c r="AN28" i="42"/>
  <c r="AM28" i="42"/>
  <c r="AL28" i="42"/>
  <c r="AK28" i="42"/>
  <c r="AJ28" i="42"/>
  <c r="AI28" i="42"/>
  <c r="AH28" i="42"/>
  <c r="AG28" i="42"/>
  <c r="AF28" i="42"/>
  <c r="AE28" i="42"/>
  <c r="AD28" i="42"/>
  <c r="AC28" i="42"/>
  <c r="AB28" i="42"/>
  <c r="AA28" i="42"/>
  <c r="Z28" i="42"/>
  <c r="Y28" i="42"/>
  <c r="X28" i="42"/>
  <c r="W28" i="42"/>
  <c r="V28" i="42"/>
  <c r="U28" i="42"/>
  <c r="T28" i="42"/>
  <c r="S28" i="42"/>
  <c r="R28" i="42"/>
  <c r="Q28" i="42"/>
  <c r="P28" i="42"/>
  <c r="O28" i="42"/>
  <c r="N28" i="42"/>
  <c r="M28" i="42"/>
  <c r="L28" i="42"/>
  <c r="K28" i="42"/>
  <c r="J28" i="42"/>
  <c r="I28" i="42"/>
  <c r="H28" i="42"/>
  <c r="G28" i="42"/>
  <c r="F28" i="42"/>
  <c r="CL27" i="42"/>
  <c r="CL26" i="42"/>
  <c r="CL25" i="42"/>
  <c r="CL24" i="42"/>
  <c r="CL23" i="42"/>
  <c r="CL22" i="42"/>
  <c r="CL21" i="42"/>
  <c r="CL20" i="42"/>
  <c r="CL19" i="42"/>
  <c r="CL18" i="42"/>
  <c r="CL17" i="42"/>
  <c r="CL16" i="42"/>
  <c r="CL15" i="42"/>
  <c r="CL14" i="42"/>
  <c r="CL13" i="42"/>
  <c r="CL12" i="42"/>
  <c r="CL11" i="42"/>
  <c r="CL10" i="42"/>
  <c r="CL9" i="42"/>
  <c r="CL8" i="42"/>
  <c r="CL7" i="42"/>
  <c r="CL6" i="42"/>
  <c r="CK27" i="39"/>
  <c r="CJ27" i="39"/>
  <c r="CI27" i="39"/>
  <c r="CH27" i="39"/>
  <c r="CG27" i="39"/>
  <c r="CF27" i="39"/>
  <c r="CE27" i="39"/>
  <c r="CD27" i="39"/>
  <c r="CC27" i="39"/>
  <c r="CB27" i="39"/>
  <c r="CA27" i="39"/>
  <c r="BZ27" i="39"/>
  <c r="BY27" i="39"/>
  <c r="BX27" i="39"/>
  <c r="BW27" i="39"/>
  <c r="BV27" i="39"/>
  <c r="BU27" i="39"/>
  <c r="BT27" i="39"/>
  <c r="BS27" i="39"/>
  <c r="BR27" i="39"/>
  <c r="BQ27" i="39"/>
  <c r="BP27" i="39"/>
  <c r="BO27" i="39"/>
  <c r="BN27" i="39"/>
  <c r="BM27" i="39"/>
  <c r="BL27" i="39"/>
  <c r="BK27" i="39"/>
  <c r="BJ27" i="39"/>
  <c r="BI27" i="39"/>
  <c r="BH27" i="39"/>
  <c r="BG27" i="39"/>
  <c r="BF27" i="39"/>
  <c r="BE27" i="39"/>
  <c r="BD27" i="39"/>
  <c r="BC27" i="39"/>
  <c r="BB27" i="39"/>
  <c r="BA27" i="39"/>
  <c r="AZ27" i="39"/>
  <c r="AY27" i="39"/>
  <c r="AX27" i="39"/>
  <c r="AW27" i="39"/>
  <c r="AV27" i="39"/>
  <c r="AU27" i="39"/>
  <c r="AT27" i="39"/>
  <c r="AS27" i="39"/>
  <c r="AR27" i="39"/>
  <c r="AQ27" i="39"/>
  <c r="AP27" i="39"/>
  <c r="AO27" i="39"/>
  <c r="AN27" i="39"/>
  <c r="AM27" i="39"/>
  <c r="AL27" i="39"/>
  <c r="AK27" i="39"/>
  <c r="AJ27" i="39"/>
  <c r="AI27" i="39"/>
  <c r="AH27" i="39"/>
  <c r="AG27" i="39"/>
  <c r="AF27" i="39"/>
  <c r="AE27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CL26" i="39"/>
  <c r="CL25" i="39"/>
  <c r="CL24" i="39"/>
  <c r="CL23" i="39"/>
  <c r="CL22" i="39"/>
  <c r="CL21" i="39"/>
  <c r="CL20" i="39"/>
  <c r="CL19" i="39"/>
  <c r="CL18" i="39"/>
  <c r="CL17" i="39"/>
  <c r="CL16" i="39"/>
  <c r="CL15" i="39"/>
  <c r="CL14" i="39"/>
  <c r="CL13" i="39"/>
  <c r="CL12" i="39"/>
  <c r="CL11" i="39"/>
  <c r="CL10" i="39"/>
  <c r="CL9" i="39"/>
  <c r="CL8" i="39"/>
  <c r="CL7" i="39"/>
  <c r="CL6" i="39"/>
  <c r="CK26" i="38"/>
  <c r="CJ26" i="38"/>
  <c r="CI26" i="38"/>
  <c r="CH26" i="38"/>
  <c r="CG26" i="38"/>
  <c r="CF26" i="38"/>
  <c r="CE26" i="38"/>
  <c r="CD26" i="38"/>
  <c r="CC26" i="38"/>
  <c r="CB26" i="38"/>
  <c r="CA26" i="38"/>
  <c r="BZ26" i="38"/>
  <c r="BY26" i="38"/>
  <c r="BX26" i="38"/>
  <c r="BW26" i="38"/>
  <c r="BV26" i="38"/>
  <c r="BU26" i="38"/>
  <c r="BT26" i="38"/>
  <c r="BS26" i="38"/>
  <c r="BR26" i="38"/>
  <c r="BQ26" i="38"/>
  <c r="BP26" i="38"/>
  <c r="BO26" i="38"/>
  <c r="BN26" i="38"/>
  <c r="BM26" i="38"/>
  <c r="BL26" i="38"/>
  <c r="BK26" i="38"/>
  <c r="BJ26" i="38"/>
  <c r="BI26" i="38"/>
  <c r="BH26" i="38"/>
  <c r="BG26" i="38"/>
  <c r="BF26" i="38"/>
  <c r="BE26" i="38"/>
  <c r="BD26" i="38"/>
  <c r="BC26" i="38"/>
  <c r="BB26" i="38"/>
  <c r="BA26" i="38"/>
  <c r="AZ26" i="38"/>
  <c r="AY26" i="38"/>
  <c r="AX26" i="38"/>
  <c r="AW26" i="38"/>
  <c r="AV26" i="38"/>
  <c r="AU26" i="38"/>
  <c r="AT26" i="38"/>
  <c r="AS26" i="38"/>
  <c r="AR26" i="38"/>
  <c r="AQ26" i="38"/>
  <c r="AP26" i="38"/>
  <c r="AO26" i="38"/>
  <c r="AN26" i="38"/>
  <c r="AM26" i="38"/>
  <c r="AL26" i="38"/>
  <c r="AK26" i="38"/>
  <c r="AJ26" i="38"/>
  <c r="AI26" i="38"/>
  <c r="AH26" i="38"/>
  <c r="AG26" i="38"/>
  <c r="AF26" i="38"/>
  <c r="AE26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CL25" i="38"/>
  <c r="CL24" i="38"/>
  <c r="CL23" i="38"/>
  <c r="CL22" i="38"/>
  <c r="CL21" i="38"/>
  <c r="CL20" i="38"/>
  <c r="CL19" i="38"/>
  <c r="CL18" i="38"/>
  <c r="CL17" i="38"/>
  <c r="CL16" i="38"/>
  <c r="CL15" i="38"/>
  <c r="CL14" i="38"/>
  <c r="CL13" i="38"/>
  <c r="CL12" i="38"/>
  <c r="CL11" i="38"/>
  <c r="CL10" i="38"/>
  <c r="CL9" i="38"/>
  <c r="CL8" i="38"/>
  <c r="CL7" i="38"/>
  <c r="CL6" i="38"/>
  <c r="CK26" i="37"/>
  <c r="CJ26" i="37"/>
  <c r="CI26" i="37"/>
  <c r="CH26" i="37"/>
  <c r="CG26" i="37"/>
  <c r="CF26" i="37"/>
  <c r="CE26" i="37"/>
  <c r="CD26" i="37"/>
  <c r="CC26" i="37"/>
  <c r="CB26" i="37"/>
  <c r="CA26" i="37"/>
  <c r="BZ26" i="37"/>
  <c r="BY26" i="37"/>
  <c r="BX26" i="37"/>
  <c r="BW26" i="37"/>
  <c r="BV26" i="37"/>
  <c r="BU26" i="37"/>
  <c r="BT26" i="37"/>
  <c r="BS26" i="37"/>
  <c r="BR26" i="37"/>
  <c r="BQ26" i="37"/>
  <c r="BP26" i="37"/>
  <c r="BO26" i="37"/>
  <c r="BN26" i="37"/>
  <c r="BM26" i="37"/>
  <c r="BL26" i="37"/>
  <c r="BK26" i="37"/>
  <c r="BJ26" i="37"/>
  <c r="BI26" i="37"/>
  <c r="BH26" i="37"/>
  <c r="BG26" i="37"/>
  <c r="BF26" i="37"/>
  <c r="BE26" i="37"/>
  <c r="BD26" i="37"/>
  <c r="BC26" i="37"/>
  <c r="BB26" i="37"/>
  <c r="BA26" i="37"/>
  <c r="AZ26" i="37"/>
  <c r="AY26" i="37"/>
  <c r="AX26" i="37"/>
  <c r="AW26" i="37"/>
  <c r="AV26" i="37"/>
  <c r="AU26" i="37"/>
  <c r="AT26" i="37"/>
  <c r="AS26" i="37"/>
  <c r="AR26" i="37"/>
  <c r="AQ26" i="37"/>
  <c r="AP26" i="37"/>
  <c r="AO26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CL25" i="37"/>
  <c r="CL24" i="37"/>
  <c r="CL23" i="37"/>
  <c r="CL22" i="37"/>
  <c r="CL21" i="37"/>
  <c r="CL20" i="37"/>
  <c r="CL19" i="37"/>
  <c r="CL18" i="37"/>
  <c r="CL17" i="37"/>
  <c r="CL16" i="37"/>
  <c r="CL15" i="37"/>
  <c r="CL14" i="37"/>
  <c r="CL13" i="37"/>
  <c r="CL12" i="37"/>
  <c r="CL11" i="37"/>
  <c r="CL10" i="37"/>
  <c r="CL9" i="37"/>
  <c r="CL8" i="37"/>
  <c r="CL7" i="37"/>
  <c r="CL6" i="37"/>
  <c r="CK26" i="36"/>
  <c r="CJ26" i="36"/>
  <c r="CI26" i="36"/>
  <c r="CH26" i="36"/>
  <c r="CG26" i="36"/>
  <c r="CF26" i="36"/>
  <c r="CE26" i="36"/>
  <c r="CD26" i="36"/>
  <c r="CC26" i="36"/>
  <c r="CB26" i="36"/>
  <c r="CA26" i="36"/>
  <c r="BZ26" i="36"/>
  <c r="BY26" i="36"/>
  <c r="BX26" i="36"/>
  <c r="BW26" i="36"/>
  <c r="BV26" i="36"/>
  <c r="BU26" i="36"/>
  <c r="BT26" i="36"/>
  <c r="BS26" i="36"/>
  <c r="BR26" i="36"/>
  <c r="BQ26" i="36"/>
  <c r="BP26" i="36"/>
  <c r="BO26" i="36"/>
  <c r="BN26" i="36"/>
  <c r="BM26" i="36"/>
  <c r="BL26" i="36"/>
  <c r="BK26" i="36"/>
  <c r="BJ26" i="36"/>
  <c r="BI26" i="36"/>
  <c r="BH26" i="36"/>
  <c r="BG26" i="36"/>
  <c r="BF26" i="36"/>
  <c r="BE26" i="36"/>
  <c r="BD26" i="36"/>
  <c r="BC26" i="36"/>
  <c r="BB26" i="36"/>
  <c r="BA26" i="36"/>
  <c r="AZ26" i="36"/>
  <c r="AY26" i="36"/>
  <c r="AX26" i="36"/>
  <c r="AW26" i="36"/>
  <c r="AV26" i="36"/>
  <c r="AU26" i="36"/>
  <c r="AT26" i="36"/>
  <c r="AS26" i="36"/>
  <c r="AR26" i="36"/>
  <c r="AQ26" i="36"/>
  <c r="AP26" i="36"/>
  <c r="AO26" i="36"/>
  <c r="AN26" i="36"/>
  <c r="AM26" i="36"/>
  <c r="AL26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CL25" i="36"/>
  <c r="CL24" i="36"/>
  <c r="CL23" i="36"/>
  <c r="CL22" i="36"/>
  <c r="CL21" i="36"/>
  <c r="CL20" i="36"/>
  <c r="CL19" i="36"/>
  <c r="CL18" i="36"/>
  <c r="CL17" i="36"/>
  <c r="CL16" i="36"/>
  <c r="CL15" i="36"/>
  <c r="CL14" i="36"/>
  <c r="CL13" i="36"/>
  <c r="CL12" i="36"/>
  <c r="CL11" i="36"/>
  <c r="CL10" i="36"/>
  <c r="CL9" i="36"/>
  <c r="CL8" i="36"/>
  <c r="CL7" i="36"/>
  <c r="CL6" i="36"/>
  <c r="F1" i="36"/>
  <c r="CK26" i="35"/>
  <c r="CJ26" i="35"/>
  <c r="CI26" i="35"/>
  <c r="CH26" i="35"/>
  <c r="CG26" i="35"/>
  <c r="CF26" i="35"/>
  <c r="CE26" i="35"/>
  <c r="CD26" i="35"/>
  <c r="CC26" i="35"/>
  <c r="CB26" i="35"/>
  <c r="CA26" i="35"/>
  <c r="BZ26" i="35"/>
  <c r="BY26" i="35"/>
  <c r="BX26" i="35"/>
  <c r="BW26" i="35"/>
  <c r="BV26" i="35"/>
  <c r="BU26" i="35"/>
  <c r="BT26" i="35"/>
  <c r="BS26" i="35"/>
  <c r="BR26" i="35"/>
  <c r="BQ26" i="35"/>
  <c r="BP26" i="35"/>
  <c r="BO26" i="35"/>
  <c r="BN26" i="35"/>
  <c r="BM26" i="35"/>
  <c r="BL26" i="35"/>
  <c r="BK26" i="35"/>
  <c r="BJ26" i="35"/>
  <c r="BI26" i="35"/>
  <c r="BH26" i="35"/>
  <c r="BG26" i="35"/>
  <c r="BF26" i="35"/>
  <c r="BE26" i="35"/>
  <c r="BD26" i="35"/>
  <c r="BC26" i="35"/>
  <c r="BB26" i="35"/>
  <c r="BA26" i="35"/>
  <c r="AZ26" i="35"/>
  <c r="AY26" i="35"/>
  <c r="AX26" i="35"/>
  <c r="AW26" i="35"/>
  <c r="AV26" i="35"/>
  <c r="AU26" i="35"/>
  <c r="AT26" i="35"/>
  <c r="AS26" i="35"/>
  <c r="AR26" i="35"/>
  <c r="AQ26" i="35"/>
  <c r="AP26" i="35"/>
  <c r="AO26" i="35"/>
  <c r="AN26" i="35"/>
  <c r="AM26" i="35"/>
  <c r="AL26" i="35"/>
  <c r="AK26" i="35"/>
  <c r="AJ26" i="35"/>
  <c r="AI26" i="35"/>
  <c r="AH26" i="35"/>
  <c r="AG26" i="35"/>
  <c r="AF26" i="35"/>
  <c r="AE26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CL25" i="35"/>
  <c r="CL24" i="35"/>
  <c r="CL23" i="35"/>
  <c r="CL22" i="35"/>
  <c r="CL21" i="35"/>
  <c r="CL20" i="35"/>
  <c r="CL19" i="35"/>
  <c r="CL18" i="35"/>
  <c r="CL17" i="35"/>
  <c r="CL16" i="35"/>
  <c r="CL15" i="35"/>
  <c r="CL14" i="35"/>
  <c r="CL13" i="35"/>
  <c r="CL12" i="35"/>
  <c r="CL11" i="35"/>
  <c r="CL10" i="35"/>
  <c r="CL9" i="35"/>
  <c r="CL8" i="35"/>
  <c r="CL7" i="35"/>
  <c r="CL6" i="35"/>
  <c r="F1" i="35"/>
  <c r="CN26" i="34"/>
  <c r="CM26" i="34"/>
  <c r="CL26" i="34"/>
  <c r="CK26" i="34"/>
  <c r="CJ26" i="34"/>
  <c r="CI26" i="34"/>
  <c r="CH26" i="34"/>
  <c r="CG26" i="34"/>
  <c r="CF26" i="34"/>
  <c r="CE26" i="34"/>
  <c r="CD26" i="34"/>
  <c r="CC26" i="34"/>
  <c r="CB26" i="34"/>
  <c r="CA26" i="34"/>
  <c r="BZ26" i="34"/>
  <c r="BY26" i="34"/>
  <c r="BX26" i="34"/>
  <c r="BW26" i="34"/>
  <c r="BV26" i="34"/>
  <c r="BU26" i="34"/>
  <c r="BT26" i="34"/>
  <c r="BS26" i="34"/>
  <c r="BR26" i="34"/>
  <c r="BQ26" i="34"/>
  <c r="BP26" i="34"/>
  <c r="BO26" i="34"/>
  <c r="BN26" i="34"/>
  <c r="BM26" i="34"/>
  <c r="BL26" i="34"/>
  <c r="BK26" i="34"/>
  <c r="BJ26" i="34"/>
  <c r="BI26" i="34"/>
  <c r="BH26" i="34"/>
  <c r="BG26" i="34"/>
  <c r="BF26" i="34"/>
  <c r="BE26" i="34"/>
  <c r="BD26" i="34"/>
  <c r="BC26" i="34"/>
  <c r="BB26" i="34"/>
  <c r="BA26" i="34"/>
  <c r="AZ26" i="34"/>
  <c r="AY26" i="34"/>
  <c r="AX26" i="34"/>
  <c r="AW26" i="34"/>
  <c r="AV26" i="34"/>
  <c r="AU26" i="34"/>
  <c r="AT26" i="34"/>
  <c r="AS26" i="34"/>
  <c r="AR26" i="34"/>
  <c r="AQ26" i="34"/>
  <c r="AP26" i="34"/>
  <c r="AO26" i="34"/>
  <c r="AN26" i="34"/>
  <c r="AM26" i="34"/>
  <c r="AL26" i="34"/>
  <c r="AK26" i="34"/>
  <c r="AJ26" i="34"/>
  <c r="AI26" i="34"/>
  <c r="AH26" i="34"/>
  <c r="AG26" i="34"/>
  <c r="AF26" i="34"/>
  <c r="AE26" i="34"/>
  <c r="AD26" i="34"/>
  <c r="AC26" i="34"/>
  <c r="AB26" i="34"/>
  <c r="AA26" i="34"/>
  <c r="Z26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CO25" i="34"/>
  <c r="CO24" i="34"/>
  <c r="CO23" i="34"/>
  <c r="CO22" i="34"/>
  <c r="CO21" i="34"/>
  <c r="CO20" i="34"/>
  <c r="CO19" i="34"/>
  <c r="CO18" i="34"/>
  <c r="CO17" i="34"/>
  <c r="CO16" i="34"/>
  <c r="CO15" i="34"/>
  <c r="CO14" i="34"/>
  <c r="CO13" i="34"/>
  <c r="CO12" i="34"/>
  <c r="CO11" i="34"/>
  <c r="CO10" i="34"/>
  <c r="CO9" i="34"/>
  <c r="CO8" i="34"/>
  <c r="CO7" i="34"/>
  <c r="CO6" i="34"/>
  <c r="F1" i="34"/>
  <c r="CN26" i="33"/>
  <c r="CM26" i="33"/>
  <c r="CL26" i="33"/>
  <c r="CK26" i="33"/>
  <c r="CJ26" i="33"/>
  <c r="CI26" i="33"/>
  <c r="CH26" i="33"/>
  <c r="CG26" i="33"/>
  <c r="CF26" i="33"/>
  <c r="CE26" i="33"/>
  <c r="CD26" i="33"/>
  <c r="CC26" i="33"/>
  <c r="CB26" i="33"/>
  <c r="CA26" i="33"/>
  <c r="BZ26" i="33"/>
  <c r="BY26" i="33"/>
  <c r="BX26" i="33"/>
  <c r="BW26" i="33"/>
  <c r="BV26" i="33"/>
  <c r="BU26" i="33"/>
  <c r="BT26" i="33"/>
  <c r="BS26" i="33"/>
  <c r="BR26" i="33"/>
  <c r="BQ26" i="33"/>
  <c r="BP26" i="33"/>
  <c r="BO26" i="33"/>
  <c r="BN26" i="33"/>
  <c r="BM26" i="33"/>
  <c r="BL26" i="33"/>
  <c r="BK26" i="33"/>
  <c r="BJ26" i="33"/>
  <c r="BI26" i="33"/>
  <c r="BH26" i="33"/>
  <c r="BG26" i="33"/>
  <c r="BF26" i="33"/>
  <c r="BE26" i="33"/>
  <c r="BD26" i="33"/>
  <c r="BC26" i="33"/>
  <c r="BB26" i="33"/>
  <c r="BA26" i="33"/>
  <c r="AZ26" i="33"/>
  <c r="AY26" i="33"/>
  <c r="AX26" i="33"/>
  <c r="AW26" i="33"/>
  <c r="AV26" i="33"/>
  <c r="AU26" i="33"/>
  <c r="AT26" i="33"/>
  <c r="AS26" i="33"/>
  <c r="AR26" i="33"/>
  <c r="AQ26" i="33"/>
  <c r="AP26" i="33"/>
  <c r="AO26" i="33"/>
  <c r="AN26" i="33"/>
  <c r="AM26" i="33"/>
  <c r="AL26" i="33"/>
  <c r="AK26" i="33"/>
  <c r="AJ26" i="33"/>
  <c r="AI26" i="33"/>
  <c r="AH26" i="33"/>
  <c r="AG26" i="33"/>
  <c r="AF26" i="33"/>
  <c r="AE26" i="33"/>
  <c r="AD26" i="33"/>
  <c r="AC26" i="33"/>
  <c r="AB26" i="33"/>
  <c r="AA26" i="33"/>
  <c r="Z26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CO25" i="33"/>
  <c r="CO24" i="33"/>
  <c r="CO23" i="33"/>
  <c r="CO22" i="33"/>
  <c r="CO21" i="33"/>
  <c r="CO20" i="33"/>
  <c r="CO19" i="33"/>
  <c r="CO18" i="33"/>
  <c r="CO17" i="33"/>
  <c r="CO16" i="33"/>
  <c r="CO15" i="33"/>
  <c r="CO14" i="33"/>
  <c r="CO13" i="33"/>
  <c r="CO12" i="33"/>
  <c r="CO11" i="33"/>
  <c r="CO10" i="33"/>
  <c r="CO9" i="33"/>
  <c r="CO8" i="33"/>
  <c r="CO7" i="33"/>
  <c r="CO6" i="33"/>
  <c r="F1" i="33"/>
  <c r="CO26" i="57"/>
  <c r="CN26" i="57"/>
  <c r="CM26" i="57"/>
  <c r="CL26" i="57"/>
  <c r="CK26" i="57"/>
  <c r="CJ26" i="57"/>
  <c r="CI26" i="57"/>
  <c r="CH26" i="57"/>
  <c r="CG26" i="57"/>
  <c r="CF26" i="57"/>
  <c r="CE26" i="57"/>
  <c r="CD26" i="57"/>
  <c r="CC26" i="57"/>
  <c r="CB26" i="57"/>
  <c r="CA26" i="57"/>
  <c r="BZ26" i="57"/>
  <c r="BY26" i="57"/>
  <c r="BX26" i="57"/>
  <c r="BW26" i="57"/>
  <c r="BV26" i="57"/>
  <c r="BU26" i="57"/>
  <c r="BT26" i="57"/>
  <c r="BS26" i="57"/>
  <c r="BR26" i="57"/>
  <c r="BQ26" i="57"/>
  <c r="BP26" i="57"/>
  <c r="BO26" i="57"/>
  <c r="BN26" i="57"/>
  <c r="BM26" i="57"/>
  <c r="BL26" i="57"/>
  <c r="BK26" i="57"/>
  <c r="BJ26" i="57"/>
  <c r="BI26" i="57"/>
  <c r="BH26" i="57"/>
  <c r="BG26" i="57"/>
  <c r="BF26" i="57"/>
  <c r="BE26" i="57"/>
  <c r="BD26" i="57"/>
  <c r="BC26" i="57"/>
  <c r="BB26" i="57"/>
  <c r="BA26" i="57"/>
  <c r="AZ26" i="57"/>
  <c r="AY26" i="57"/>
  <c r="AX26" i="57"/>
  <c r="AW26" i="57"/>
  <c r="AV26" i="57"/>
  <c r="AU26" i="57"/>
  <c r="AT26" i="57"/>
  <c r="AS26" i="57"/>
  <c r="AR26" i="57"/>
  <c r="AQ26" i="57"/>
  <c r="AP26" i="57"/>
  <c r="AO26" i="57"/>
  <c r="AN26" i="57"/>
  <c r="AM26" i="57"/>
  <c r="AL26" i="57"/>
  <c r="AK26" i="57"/>
  <c r="AJ26" i="57"/>
  <c r="AI26" i="57"/>
  <c r="AH26" i="57"/>
  <c r="AG26" i="57"/>
  <c r="AF26" i="57"/>
  <c r="AE26" i="57"/>
  <c r="AD26" i="57"/>
  <c r="AC26" i="57"/>
  <c r="AB26" i="57"/>
  <c r="AA26" i="57"/>
  <c r="Z26" i="57"/>
  <c r="Y26" i="57"/>
  <c r="X26" i="57"/>
  <c r="W26" i="57"/>
  <c r="V26" i="57"/>
  <c r="U26" i="57"/>
  <c r="T26" i="57"/>
  <c r="S26" i="57"/>
  <c r="R26" i="57"/>
  <c r="Q26" i="57"/>
  <c r="P26" i="57"/>
  <c r="O26" i="57"/>
  <c r="N26" i="57"/>
  <c r="M26" i="57"/>
  <c r="L26" i="57"/>
  <c r="K26" i="57"/>
  <c r="J26" i="57"/>
  <c r="I26" i="57"/>
  <c r="H26" i="57"/>
  <c r="G26" i="57"/>
  <c r="F26" i="57"/>
  <c r="CP25" i="57"/>
  <c r="CP24" i="57"/>
  <c r="CP23" i="57"/>
  <c r="CP22" i="57"/>
  <c r="CP21" i="57"/>
  <c r="CP20" i="57"/>
  <c r="CP19" i="57"/>
  <c r="CP18" i="57"/>
  <c r="CP17" i="57"/>
  <c r="CP16" i="57"/>
  <c r="CP15" i="57"/>
  <c r="CP14" i="57"/>
  <c r="CP13" i="57"/>
  <c r="CP12" i="57"/>
  <c r="CP11" i="57"/>
  <c r="CP10" i="57"/>
  <c r="CP9" i="57"/>
  <c r="CP8" i="57"/>
  <c r="CP7" i="57"/>
  <c r="CP6" i="57"/>
  <c r="AQ30" i="34" l="1"/>
  <c r="BG30" i="34"/>
  <c r="BW30" i="34"/>
  <c r="CM30" i="34"/>
  <c r="L30" i="35"/>
  <c r="T30" i="35"/>
  <c r="AB30" i="35"/>
  <c r="AJ30" i="35"/>
  <c r="AR30" i="35"/>
  <c r="AZ30" i="35"/>
  <c r="BH30" i="35"/>
  <c r="BP30" i="35"/>
  <c r="BX30" i="35"/>
  <c r="CF30" i="35"/>
  <c r="K30" i="33"/>
  <c r="S30" i="33"/>
  <c r="AA30" i="33"/>
  <c r="AI30" i="33"/>
  <c r="AQ30" i="33"/>
  <c r="AY30" i="33"/>
  <c r="BG30" i="33"/>
  <c r="BO30" i="33"/>
  <c r="M30" i="33"/>
  <c r="BA30" i="33"/>
  <c r="AC30" i="33"/>
  <c r="AS30" i="33"/>
  <c r="BI30" i="33"/>
  <c r="BY30" i="33"/>
  <c r="CG30" i="33"/>
  <c r="BW30" i="33"/>
  <c r="CE30" i="33"/>
  <c r="CM30" i="33"/>
  <c r="U30" i="33"/>
  <c r="F30" i="57"/>
  <c r="J30" i="57"/>
  <c r="N30" i="57"/>
  <c r="G30" i="57"/>
  <c r="K30" i="57"/>
  <c r="O30" i="57"/>
  <c r="S30" i="57"/>
  <c r="W30" i="57"/>
  <c r="AA30" i="57"/>
  <c r="AE30" i="57"/>
  <c r="AI30" i="57"/>
  <c r="AM30" i="57"/>
  <c r="AQ30" i="57"/>
  <c r="AU30" i="57"/>
  <c r="AY30" i="57"/>
  <c r="BC30" i="57"/>
  <c r="BG30" i="57"/>
  <c r="BK30" i="57"/>
  <c r="BO30" i="57"/>
  <c r="BS30" i="57"/>
  <c r="BW30" i="57"/>
  <c r="CA30" i="57"/>
  <c r="CE30" i="57"/>
  <c r="CI30" i="57"/>
  <c r="CM30" i="57"/>
  <c r="I30" i="33"/>
  <c r="Q30" i="33"/>
  <c r="Y30" i="33"/>
  <c r="AG30" i="33"/>
  <c r="AK30" i="33"/>
  <c r="AO30" i="33"/>
  <c r="AW30" i="33"/>
  <c r="BE30" i="33"/>
  <c r="BM30" i="33"/>
  <c r="BQ30" i="33"/>
  <c r="BU30" i="33"/>
  <c r="CC30" i="33"/>
  <c r="CK30" i="33"/>
  <c r="H30" i="33"/>
  <c r="L30" i="33"/>
  <c r="P30" i="33"/>
  <c r="T30" i="33"/>
  <c r="X30" i="33"/>
  <c r="AB30" i="33"/>
  <c r="AF30" i="33"/>
  <c r="AJ30" i="33"/>
  <c r="AN30" i="33"/>
  <c r="AR30" i="33"/>
  <c r="AV30" i="33"/>
  <c r="AZ30" i="33"/>
  <c r="BD30" i="33"/>
  <c r="BH30" i="33"/>
  <c r="BL30" i="33"/>
  <c r="BP30" i="33"/>
  <c r="BT30" i="33"/>
  <c r="BX30" i="33"/>
  <c r="CB30" i="33"/>
  <c r="CF30" i="33"/>
  <c r="CJ30" i="33"/>
  <c r="CN30" i="33"/>
  <c r="Z30" i="34"/>
  <c r="CF30" i="42"/>
  <c r="I30" i="57"/>
  <c r="M30" i="57"/>
  <c r="Q30" i="57"/>
  <c r="U30" i="57"/>
  <c r="Y30" i="57"/>
  <c r="AC30" i="57"/>
  <c r="AG30" i="57"/>
  <c r="AK30" i="57"/>
  <c r="AO30" i="57"/>
  <c r="AS30" i="57"/>
  <c r="AW30" i="57"/>
  <c r="BA30" i="57"/>
  <c r="BE30" i="57"/>
  <c r="BI30" i="57"/>
  <c r="BM30" i="57"/>
  <c r="BQ30" i="57"/>
  <c r="BU30" i="57"/>
  <c r="BY30" i="57"/>
  <c r="CC30" i="57"/>
  <c r="CG30" i="57"/>
  <c r="CK30" i="57"/>
  <c r="CO30" i="57"/>
  <c r="R30" i="57"/>
  <c r="V30" i="57"/>
  <c r="Z30" i="57"/>
  <c r="AD30" i="57"/>
  <c r="AH30" i="57"/>
  <c r="AL30" i="57"/>
  <c r="AP30" i="57"/>
  <c r="AT30" i="57"/>
  <c r="AX30" i="57"/>
  <c r="BB30" i="57"/>
  <c r="BF30" i="57"/>
  <c r="BJ30" i="57"/>
  <c r="BN30" i="57"/>
  <c r="BR30" i="57"/>
  <c r="BV30" i="57"/>
  <c r="BZ30" i="57"/>
  <c r="CD30" i="57"/>
  <c r="CH30" i="57"/>
  <c r="CL30" i="57"/>
  <c r="H30" i="57"/>
  <c r="L30" i="57"/>
  <c r="P30" i="57"/>
  <c r="T30" i="57"/>
  <c r="X30" i="57"/>
  <c r="AB30" i="57"/>
  <c r="AF30" i="57"/>
  <c r="AJ30" i="57"/>
  <c r="AN30" i="57"/>
  <c r="AR30" i="57"/>
  <c r="AV30" i="57"/>
  <c r="AZ30" i="57"/>
  <c r="BD30" i="57"/>
  <c r="BH30" i="57"/>
  <c r="BL30" i="57"/>
  <c r="BP30" i="57"/>
  <c r="BT30" i="57"/>
  <c r="BX30" i="57"/>
  <c r="CB30" i="57"/>
  <c r="CF30" i="57"/>
  <c r="CJ30" i="57"/>
  <c r="CN30" i="57"/>
  <c r="G30" i="33"/>
  <c r="O30" i="33"/>
  <c r="W30" i="33"/>
  <c r="AE30" i="33"/>
  <c r="AM30" i="33"/>
  <c r="AU30" i="33"/>
  <c r="BC30" i="33"/>
  <c r="BK30" i="33"/>
  <c r="BS30" i="33"/>
  <c r="CA30" i="33"/>
  <c r="CI30" i="33"/>
  <c r="F30" i="33"/>
  <c r="J30" i="33"/>
  <c r="N30" i="33"/>
  <c r="R30" i="33"/>
  <c r="V30" i="33"/>
  <c r="Z30" i="33"/>
  <c r="AD30" i="33"/>
  <c r="AH30" i="33"/>
  <c r="AL30" i="33"/>
  <c r="AP30" i="33"/>
  <c r="AT30" i="33"/>
  <c r="AX30" i="33"/>
  <c r="BB30" i="33"/>
  <c r="BF30" i="33"/>
  <c r="BJ30" i="33"/>
  <c r="BN30" i="33"/>
  <c r="BR30" i="33"/>
  <c r="BV30" i="33"/>
  <c r="BZ30" i="33"/>
  <c r="CD30" i="33"/>
  <c r="CH30" i="33"/>
  <c r="CL30" i="33"/>
  <c r="CE30" i="34"/>
  <c r="J30" i="34"/>
  <c r="AD30" i="34"/>
  <c r="AH30" i="34"/>
  <c r="AL30" i="34"/>
  <c r="AP30" i="34"/>
  <c r="AT30" i="34"/>
  <c r="AX30" i="34"/>
  <c r="BB30" i="34"/>
  <c r="BF30" i="34"/>
  <c r="BJ30" i="34"/>
  <c r="BN30" i="34"/>
  <c r="BR30" i="34"/>
  <c r="BV30" i="34"/>
  <c r="BZ30" i="34"/>
  <c r="CD30" i="34"/>
  <c r="CH30" i="34"/>
  <c r="CL30" i="34"/>
  <c r="G30" i="37"/>
  <c r="O30" i="37"/>
  <c r="W30" i="37"/>
  <c r="AE30" i="37"/>
  <c r="AM30" i="37"/>
  <c r="AU30" i="37"/>
  <c r="BC30" i="37"/>
  <c r="BK30" i="37"/>
  <c r="BS30" i="37"/>
  <c r="CA30" i="37"/>
  <c r="CI30" i="37"/>
  <c r="CF30" i="38"/>
  <c r="CG30" i="43"/>
  <c r="CI30" i="39"/>
  <c r="N30" i="34"/>
  <c r="AE30" i="34"/>
  <c r="AU30" i="34"/>
  <c r="BK30" i="34"/>
  <c r="CA30" i="34"/>
  <c r="R30" i="34"/>
  <c r="AI30" i="34"/>
  <c r="AY30" i="34"/>
  <c r="BO30" i="34"/>
  <c r="X30" i="34"/>
  <c r="T30" i="34"/>
  <c r="P30" i="34"/>
  <c r="L30" i="34"/>
  <c r="H30" i="34"/>
  <c r="CN30" i="34"/>
  <c r="CJ30" i="34"/>
  <c r="CF30" i="34"/>
  <c r="CB30" i="34"/>
  <c r="BX30" i="34"/>
  <c r="BT30" i="34"/>
  <c r="BP30" i="34"/>
  <c r="BL30" i="34"/>
  <c r="BH30" i="34"/>
  <c r="BD30" i="34"/>
  <c r="AZ30" i="34"/>
  <c r="AV30" i="34"/>
  <c r="AR30" i="34"/>
  <c r="AN30" i="34"/>
  <c r="AJ30" i="34"/>
  <c r="AF30" i="34"/>
  <c r="AA30" i="34"/>
  <c r="W30" i="34"/>
  <c r="S30" i="34"/>
  <c r="O30" i="34"/>
  <c r="K30" i="34"/>
  <c r="G30" i="34"/>
  <c r="I30" i="34"/>
  <c r="M30" i="34"/>
  <c r="Q30" i="34"/>
  <c r="U30" i="34"/>
  <c r="Y30" i="34"/>
  <c r="AC30" i="34"/>
  <c r="AG30" i="34"/>
  <c r="AK30" i="34"/>
  <c r="AO30" i="34"/>
  <c r="AS30" i="34"/>
  <c r="AW30" i="34"/>
  <c r="BA30" i="34"/>
  <c r="BE30" i="34"/>
  <c r="BI30" i="34"/>
  <c r="BM30" i="34"/>
  <c r="BQ30" i="34"/>
  <c r="BU30" i="34"/>
  <c r="BY30" i="34"/>
  <c r="CC30" i="34"/>
  <c r="CG30" i="34"/>
  <c r="CK30" i="34"/>
  <c r="F30" i="34"/>
  <c r="V30" i="34"/>
  <c r="AM30" i="34"/>
  <c r="BC30" i="34"/>
  <c r="BS30" i="34"/>
  <c r="CI30" i="34"/>
  <c r="AB30" i="34"/>
  <c r="P30" i="39"/>
  <c r="CE30" i="35"/>
  <c r="CH30" i="37"/>
  <c r="L30" i="36"/>
  <c r="T30" i="36"/>
  <c r="AB30" i="36"/>
  <c r="AJ30" i="36"/>
  <c r="AR30" i="36"/>
  <c r="AZ30" i="36"/>
  <c r="BH30" i="36"/>
  <c r="BP30" i="36"/>
  <c r="BX30" i="36"/>
  <c r="CF30" i="36"/>
  <c r="X30" i="39"/>
  <c r="AN30" i="39"/>
  <c r="CB30" i="39"/>
  <c r="CJ30" i="39"/>
  <c r="BL30" i="39"/>
  <c r="H30" i="39"/>
  <c r="BT30" i="39"/>
  <c r="AE30" i="42"/>
  <c r="AF30" i="39"/>
  <c r="AV30" i="39"/>
  <c r="BD30" i="39"/>
  <c r="BK30" i="42"/>
  <c r="BY30" i="42"/>
  <c r="AG30" i="43"/>
  <c r="AU30" i="43"/>
  <c r="V30" i="42"/>
  <c r="AK30" i="42"/>
  <c r="BZ30" i="42"/>
  <c r="BC30" i="43"/>
  <c r="AL30" i="42"/>
  <c r="CA30" i="42"/>
  <c r="BK30" i="43"/>
  <c r="AS30" i="42"/>
  <c r="CH30" i="42"/>
  <c r="G30" i="43"/>
  <c r="CA30" i="43"/>
  <c r="M30" i="42"/>
  <c r="BB30" i="42"/>
  <c r="N30" i="43"/>
  <c r="CI30" i="43"/>
  <c r="N30" i="42"/>
  <c r="BC30" i="42"/>
  <c r="W30" i="43"/>
  <c r="O30" i="42"/>
  <c r="BI30" i="42"/>
  <c r="AD30" i="43"/>
  <c r="U30" i="42"/>
  <c r="AM30" i="42"/>
  <c r="BJ30" i="42"/>
  <c r="CG30" i="42"/>
  <c r="W30" i="42"/>
  <c r="AT30" i="42"/>
  <c r="BQ30" i="42"/>
  <c r="CI30" i="42"/>
  <c r="F30" i="42"/>
  <c r="AC30" i="42"/>
  <c r="AU30" i="42"/>
  <c r="BR30" i="42"/>
  <c r="G30" i="42"/>
  <c r="AD30" i="42"/>
  <c r="BA30" i="42"/>
  <c r="BS30" i="42"/>
  <c r="I30" i="43"/>
  <c r="AE30" i="43"/>
  <c r="BJ30" i="43"/>
  <c r="O30" i="43"/>
  <c r="AL30" i="43"/>
  <c r="BR30" i="43"/>
  <c r="Q30" i="43"/>
  <c r="AM30" i="43"/>
  <c r="BS30" i="43"/>
  <c r="V30" i="43"/>
  <c r="AT30" i="43"/>
  <c r="BZ30" i="43"/>
  <c r="F30" i="43"/>
  <c r="Y30" i="43"/>
  <c r="BB30" i="43"/>
  <c r="CH30" i="43"/>
  <c r="H30" i="42"/>
  <c r="P30" i="42"/>
  <c r="X30" i="42"/>
  <c r="AF30" i="42"/>
  <c r="AN30" i="42"/>
  <c r="AV30" i="42"/>
  <c r="BD30" i="42"/>
  <c r="BL30" i="42"/>
  <c r="BT30" i="42"/>
  <c r="CB30" i="42"/>
  <c r="CJ30" i="42"/>
  <c r="I30" i="42"/>
  <c r="Q30" i="42"/>
  <c r="Y30" i="42"/>
  <c r="AG30" i="42"/>
  <c r="AO30" i="42"/>
  <c r="AW30" i="42"/>
  <c r="BE30" i="42"/>
  <c r="BM30" i="42"/>
  <c r="BU30" i="42"/>
  <c r="CC30" i="42"/>
  <c r="CK30" i="42"/>
  <c r="J30" i="42"/>
  <c r="R30" i="42"/>
  <c r="Z30" i="42"/>
  <c r="AH30" i="42"/>
  <c r="AP30" i="42"/>
  <c r="AX30" i="42"/>
  <c r="BF30" i="42"/>
  <c r="BN30" i="42"/>
  <c r="BV30" i="42"/>
  <c r="CD30" i="42"/>
  <c r="K30" i="42"/>
  <c r="S30" i="42"/>
  <c r="AA30" i="42"/>
  <c r="AI30" i="42"/>
  <c r="AQ30" i="42"/>
  <c r="AY30" i="42"/>
  <c r="BG30" i="42"/>
  <c r="BO30" i="42"/>
  <c r="BW30" i="42"/>
  <c r="CE30" i="42"/>
  <c r="L30" i="42"/>
  <c r="T30" i="42"/>
  <c r="AB30" i="42"/>
  <c r="AJ30" i="42"/>
  <c r="AR30" i="42"/>
  <c r="AZ30" i="42"/>
  <c r="BH30" i="42"/>
  <c r="BP30" i="42"/>
  <c r="BX30" i="42"/>
  <c r="H30" i="43"/>
  <c r="P30" i="43"/>
  <c r="X30" i="43"/>
  <c r="AF30" i="43"/>
  <c r="AN30" i="43"/>
  <c r="AV30" i="43"/>
  <c r="BD30" i="43"/>
  <c r="BL30" i="43"/>
  <c r="BT30" i="43"/>
  <c r="CB30" i="43"/>
  <c r="CJ30" i="43"/>
  <c r="AO30" i="43"/>
  <c r="AW30" i="43"/>
  <c r="BE30" i="43"/>
  <c r="BM30" i="43"/>
  <c r="BU30" i="43"/>
  <c r="CC30" i="43"/>
  <c r="CK30" i="43"/>
  <c r="J30" i="43"/>
  <c r="R30" i="43"/>
  <c r="Z30" i="43"/>
  <c r="AH30" i="43"/>
  <c r="AP30" i="43"/>
  <c r="AX30" i="43"/>
  <c r="BF30" i="43"/>
  <c r="BN30" i="43"/>
  <c r="BV30" i="43"/>
  <c r="CD30" i="43"/>
  <c r="K30" i="43"/>
  <c r="S30" i="43"/>
  <c r="AA30" i="43"/>
  <c r="AI30" i="43"/>
  <c r="AQ30" i="43"/>
  <c r="AY30" i="43"/>
  <c r="BG30" i="43"/>
  <c r="BO30" i="43"/>
  <c r="BW30" i="43"/>
  <c r="CE30" i="43"/>
  <c r="L30" i="43"/>
  <c r="T30" i="43"/>
  <c r="AB30" i="43"/>
  <c r="AJ30" i="43"/>
  <c r="AR30" i="43"/>
  <c r="AZ30" i="43"/>
  <c r="BH30" i="43"/>
  <c r="BP30" i="43"/>
  <c r="BX30" i="43"/>
  <c r="CF30" i="43"/>
  <c r="M30" i="43"/>
  <c r="U30" i="43"/>
  <c r="AC30" i="43"/>
  <c r="AK30" i="43"/>
  <c r="AS30" i="43"/>
  <c r="BA30" i="43"/>
  <c r="BI30" i="43"/>
  <c r="BQ30" i="43"/>
  <c r="BY30" i="43"/>
  <c r="I30" i="39"/>
  <c r="Q30" i="39"/>
  <c r="Y30" i="39"/>
  <c r="AG30" i="39"/>
  <c r="AO30" i="39"/>
  <c r="AW30" i="39"/>
  <c r="BE30" i="39"/>
  <c r="BM30" i="39"/>
  <c r="BU30" i="39"/>
  <c r="CC30" i="39"/>
  <c r="CK30" i="39"/>
  <c r="J30" i="39"/>
  <c r="R30" i="39"/>
  <c r="Z30" i="39"/>
  <c r="AH30" i="39"/>
  <c r="AP30" i="39"/>
  <c r="AX30" i="39"/>
  <c r="BF30" i="39"/>
  <c r="BN30" i="39"/>
  <c r="BV30" i="39"/>
  <c r="CD30" i="39"/>
  <c r="K30" i="39"/>
  <c r="S30" i="39"/>
  <c r="AA30" i="39"/>
  <c r="AI30" i="39"/>
  <c r="AQ30" i="39"/>
  <c r="AY30" i="39"/>
  <c r="BG30" i="39"/>
  <c r="BO30" i="39"/>
  <c r="BW30" i="39"/>
  <c r="CE30" i="39"/>
  <c r="L30" i="39"/>
  <c r="T30" i="39"/>
  <c r="AB30" i="39"/>
  <c r="AJ30" i="39"/>
  <c r="AR30" i="39"/>
  <c r="AZ30" i="39"/>
  <c r="BH30" i="39"/>
  <c r="BP30" i="39"/>
  <c r="BX30" i="39"/>
  <c r="CF30" i="39"/>
  <c r="M30" i="39"/>
  <c r="U30" i="39"/>
  <c r="AC30" i="39"/>
  <c r="AK30" i="39"/>
  <c r="AS30" i="39"/>
  <c r="BA30" i="39"/>
  <c r="BI30" i="39"/>
  <c r="BQ30" i="39"/>
  <c r="BY30" i="39"/>
  <c r="CG30" i="39"/>
  <c r="F30" i="39"/>
  <c r="N30" i="39"/>
  <c r="V30" i="39"/>
  <c r="AD30" i="39"/>
  <c r="AL30" i="39"/>
  <c r="AT30" i="39"/>
  <c r="BB30" i="39"/>
  <c r="BJ30" i="39"/>
  <c r="BR30" i="39"/>
  <c r="BZ30" i="39"/>
  <c r="CH30" i="39"/>
  <c r="G30" i="39"/>
  <c r="O30" i="39"/>
  <c r="W30" i="39"/>
  <c r="AE30" i="39"/>
  <c r="AM30" i="39"/>
  <c r="AU30" i="39"/>
  <c r="BC30" i="39"/>
  <c r="BK30" i="39"/>
  <c r="BS30" i="39"/>
  <c r="CA30" i="39"/>
  <c r="AC30" i="38"/>
  <c r="BI30" i="38"/>
  <c r="F30" i="38"/>
  <c r="N30" i="38"/>
  <c r="V30" i="38"/>
  <c r="AD30" i="38"/>
  <c r="AL30" i="38"/>
  <c r="AT30" i="38"/>
  <c r="BB30" i="38"/>
  <c r="BJ30" i="38"/>
  <c r="BR30" i="38"/>
  <c r="BZ30" i="38"/>
  <c r="CH30" i="38"/>
  <c r="U30" i="38"/>
  <c r="CG30" i="38"/>
  <c r="G30" i="38"/>
  <c r="O30" i="38"/>
  <c r="W30" i="38"/>
  <c r="AE30" i="38"/>
  <c r="AM30" i="38"/>
  <c r="AU30" i="38"/>
  <c r="BC30" i="38"/>
  <c r="BK30" i="38"/>
  <c r="BS30" i="38"/>
  <c r="CA30" i="38"/>
  <c r="CI30" i="38"/>
  <c r="BQ30" i="38"/>
  <c r="H30" i="38"/>
  <c r="P30" i="38"/>
  <c r="X30" i="38"/>
  <c r="AF30" i="38"/>
  <c r="AN30" i="38"/>
  <c r="AV30" i="38"/>
  <c r="BD30" i="38"/>
  <c r="BL30" i="38"/>
  <c r="BT30" i="38"/>
  <c r="CB30" i="38"/>
  <c r="CJ30" i="38"/>
  <c r="AK30" i="38"/>
  <c r="I30" i="38"/>
  <c r="Q30" i="38"/>
  <c r="Y30" i="38"/>
  <c r="AG30" i="38"/>
  <c r="AO30" i="38"/>
  <c r="AW30" i="38"/>
  <c r="BE30" i="38"/>
  <c r="BM30" i="38"/>
  <c r="BU30" i="38"/>
  <c r="CC30" i="38"/>
  <c r="CK30" i="38"/>
  <c r="BA30" i="38"/>
  <c r="J30" i="38"/>
  <c r="R30" i="38"/>
  <c r="Z30" i="38"/>
  <c r="AH30" i="38"/>
  <c r="AP30" i="38"/>
  <c r="AX30" i="38"/>
  <c r="BF30" i="38"/>
  <c r="BN30" i="38"/>
  <c r="BV30" i="38"/>
  <c r="CD30" i="38"/>
  <c r="M30" i="38"/>
  <c r="BY30" i="38"/>
  <c r="K30" i="38"/>
  <c r="S30" i="38"/>
  <c r="AA30" i="38"/>
  <c r="AI30" i="38"/>
  <c r="AQ30" i="38"/>
  <c r="AY30" i="38"/>
  <c r="BG30" i="38"/>
  <c r="BO30" i="38"/>
  <c r="BW30" i="38"/>
  <c r="CE30" i="38"/>
  <c r="AS30" i="38"/>
  <c r="L30" i="38"/>
  <c r="T30" i="38"/>
  <c r="AB30" i="38"/>
  <c r="AJ30" i="38"/>
  <c r="AR30" i="38"/>
  <c r="AZ30" i="38"/>
  <c r="BH30" i="38"/>
  <c r="BP30" i="38"/>
  <c r="BX30" i="38"/>
  <c r="H30" i="37"/>
  <c r="P30" i="37"/>
  <c r="X30" i="37"/>
  <c r="AF30" i="37"/>
  <c r="AN30" i="37"/>
  <c r="AV30" i="37"/>
  <c r="BD30" i="37"/>
  <c r="BL30" i="37"/>
  <c r="BT30" i="37"/>
  <c r="CB30" i="37"/>
  <c r="CJ30" i="37"/>
  <c r="I30" i="37"/>
  <c r="Q30" i="37"/>
  <c r="Y30" i="37"/>
  <c r="AG30" i="37"/>
  <c r="AO30" i="37"/>
  <c r="AW30" i="37"/>
  <c r="BE30" i="37"/>
  <c r="BM30" i="37"/>
  <c r="BU30" i="37"/>
  <c r="CC30" i="37"/>
  <c r="CK30" i="37"/>
  <c r="J30" i="37"/>
  <c r="R30" i="37"/>
  <c r="Z30" i="37"/>
  <c r="AH30" i="37"/>
  <c r="AP30" i="37"/>
  <c r="AX30" i="37"/>
  <c r="BF30" i="37"/>
  <c r="BN30" i="37"/>
  <c r="BV30" i="37"/>
  <c r="CD30" i="37"/>
  <c r="K30" i="37"/>
  <c r="S30" i="37"/>
  <c r="AA30" i="37"/>
  <c r="AI30" i="37"/>
  <c r="AQ30" i="37"/>
  <c r="AY30" i="37"/>
  <c r="BG30" i="37"/>
  <c r="BO30" i="37"/>
  <c r="BW30" i="37"/>
  <c r="CE30" i="37"/>
  <c r="L30" i="37"/>
  <c r="T30" i="37"/>
  <c r="AB30" i="37"/>
  <c r="AJ30" i="37"/>
  <c r="AR30" i="37"/>
  <c r="AZ30" i="37"/>
  <c r="BH30" i="37"/>
  <c r="BP30" i="37"/>
  <c r="BX30" i="37"/>
  <c r="CF30" i="37"/>
  <c r="M30" i="37"/>
  <c r="U30" i="37"/>
  <c r="AC30" i="37"/>
  <c r="AK30" i="37"/>
  <c r="AS30" i="37"/>
  <c r="BA30" i="37"/>
  <c r="BI30" i="37"/>
  <c r="BQ30" i="37"/>
  <c r="BY30" i="37"/>
  <c r="CG30" i="37"/>
  <c r="F30" i="37"/>
  <c r="N30" i="37"/>
  <c r="V30" i="37"/>
  <c r="AD30" i="37"/>
  <c r="AL30" i="37"/>
  <c r="AT30" i="37"/>
  <c r="BB30" i="37"/>
  <c r="BJ30" i="37"/>
  <c r="BR30" i="37"/>
  <c r="BZ30" i="37"/>
  <c r="CE30" i="36"/>
  <c r="M30" i="36"/>
  <c r="U30" i="36"/>
  <c r="AC30" i="36"/>
  <c r="AK30" i="36"/>
  <c r="AS30" i="36"/>
  <c r="BA30" i="36"/>
  <c r="BI30" i="36"/>
  <c r="BQ30" i="36"/>
  <c r="BY30" i="36"/>
  <c r="CG30" i="36"/>
  <c r="F30" i="36"/>
  <c r="N30" i="36"/>
  <c r="V30" i="36"/>
  <c r="AD30" i="36"/>
  <c r="AL30" i="36"/>
  <c r="AT30" i="36"/>
  <c r="BB30" i="36"/>
  <c r="BJ30" i="36"/>
  <c r="BR30" i="36"/>
  <c r="BZ30" i="36"/>
  <c r="CH30" i="36"/>
  <c r="G30" i="36"/>
  <c r="O30" i="36"/>
  <c r="W30" i="36"/>
  <c r="AE30" i="36"/>
  <c r="AM30" i="36"/>
  <c r="AU30" i="36"/>
  <c r="BC30" i="36"/>
  <c r="BK30" i="36"/>
  <c r="BS30" i="36"/>
  <c r="CA30" i="36"/>
  <c r="CI30" i="36"/>
  <c r="H30" i="36"/>
  <c r="P30" i="36"/>
  <c r="X30" i="36"/>
  <c r="AF30" i="36"/>
  <c r="AN30" i="36"/>
  <c r="AV30" i="36"/>
  <c r="BD30" i="36"/>
  <c r="BL30" i="36"/>
  <c r="BT30" i="36"/>
  <c r="CB30" i="36"/>
  <c r="CJ30" i="36"/>
  <c r="I30" i="36"/>
  <c r="Q30" i="36"/>
  <c r="Y30" i="36"/>
  <c r="AG30" i="36"/>
  <c r="AO30" i="36"/>
  <c r="AW30" i="36"/>
  <c r="BE30" i="36"/>
  <c r="BM30" i="36"/>
  <c r="BU30" i="36"/>
  <c r="CC30" i="36"/>
  <c r="CK30" i="36"/>
  <c r="J30" i="36"/>
  <c r="R30" i="36"/>
  <c r="Z30" i="36"/>
  <c r="AH30" i="36"/>
  <c r="AP30" i="36"/>
  <c r="AX30" i="36"/>
  <c r="BF30" i="36"/>
  <c r="BN30" i="36"/>
  <c r="BV30" i="36"/>
  <c r="CD30" i="36"/>
  <c r="K30" i="36"/>
  <c r="S30" i="36"/>
  <c r="AA30" i="36"/>
  <c r="AI30" i="36"/>
  <c r="AQ30" i="36"/>
  <c r="AY30" i="36"/>
  <c r="BG30" i="36"/>
  <c r="BO30" i="36"/>
  <c r="BW30" i="36"/>
  <c r="M30" i="35"/>
  <c r="U30" i="35"/>
  <c r="AC30" i="35"/>
  <c r="AK30" i="35"/>
  <c r="AS30" i="35"/>
  <c r="BA30" i="35"/>
  <c r="BI30" i="35"/>
  <c r="BQ30" i="35"/>
  <c r="BY30" i="35"/>
  <c r="CG30" i="35"/>
  <c r="F30" i="35"/>
  <c r="N30" i="35"/>
  <c r="V30" i="35"/>
  <c r="AD30" i="35"/>
  <c r="AL30" i="35"/>
  <c r="AT30" i="35"/>
  <c r="BB30" i="35"/>
  <c r="BJ30" i="35"/>
  <c r="BR30" i="35"/>
  <c r="BZ30" i="35"/>
  <c r="CH30" i="35"/>
  <c r="G30" i="35"/>
  <c r="O30" i="35"/>
  <c r="W30" i="35"/>
  <c r="AE30" i="35"/>
  <c r="AM30" i="35"/>
  <c r="AU30" i="35"/>
  <c r="BC30" i="35"/>
  <c r="BK30" i="35"/>
  <c r="BS30" i="35"/>
  <c r="CA30" i="35"/>
  <c r="CI30" i="35"/>
  <c r="H30" i="35"/>
  <c r="P30" i="35"/>
  <c r="X30" i="35"/>
  <c r="AF30" i="35"/>
  <c r="AN30" i="35"/>
  <c r="AV30" i="35"/>
  <c r="BD30" i="35"/>
  <c r="BL30" i="35"/>
  <c r="BT30" i="35"/>
  <c r="CB30" i="35"/>
  <c r="CJ30" i="35"/>
  <c r="I30" i="35"/>
  <c r="Q30" i="35"/>
  <c r="Y30" i="35"/>
  <c r="AG30" i="35"/>
  <c r="AO30" i="35"/>
  <c r="AW30" i="35"/>
  <c r="BE30" i="35"/>
  <c r="BM30" i="35"/>
  <c r="BU30" i="35"/>
  <c r="CC30" i="35"/>
  <c r="CK30" i="35"/>
  <c r="J30" i="35"/>
  <c r="R30" i="35"/>
  <c r="Z30" i="35"/>
  <c r="AH30" i="35"/>
  <c r="AP30" i="35"/>
  <c r="AX30" i="35"/>
  <c r="BF30" i="35"/>
  <c r="BN30" i="35"/>
  <c r="BV30" i="35"/>
  <c r="CD30" i="35"/>
  <c r="K30" i="35"/>
  <c r="S30" i="35"/>
  <c r="AA30" i="35"/>
  <c r="AI30" i="35"/>
  <c r="AQ30" i="35"/>
  <c r="AY30" i="35"/>
  <c r="BG30" i="35"/>
  <c r="BO30" i="35"/>
  <c r="BW30" i="35"/>
</calcChain>
</file>

<file path=xl/sharedStrings.xml><?xml version="1.0" encoding="utf-8"?>
<sst xmlns="http://schemas.openxmlformats.org/spreadsheetml/2006/main" count="1087" uniqueCount="184">
  <si>
    <t>Т А С Д И Қ Л А Й М А Н</t>
  </si>
  <si>
    <t>Т А О М Н О М А</t>
  </si>
  <si>
    <t xml:space="preserve">Тарбияланувчилар сони </t>
  </si>
  <si>
    <t>Аутсорсер "Muxsin Fayz" МЧЖ директори</t>
  </si>
  <si>
    <t>Овкатнинг номланиши</t>
  </si>
  <si>
    <t>Бир нафар тарбияланувчи учун овқат ҳажми</t>
  </si>
  <si>
    <t>Нон</t>
  </si>
  <si>
    <t>Чой</t>
  </si>
  <si>
    <t>Мол гушти</t>
  </si>
  <si>
    <t>Товук гушти</t>
  </si>
  <si>
    <t>Усимлик ёги</t>
  </si>
  <si>
    <t>Шакар</t>
  </si>
  <si>
    <t>Гуруч</t>
  </si>
  <si>
    <t>Картошка</t>
  </si>
  <si>
    <t>Сабзи</t>
  </si>
  <si>
    <t>Пиёз</t>
  </si>
  <si>
    <t>Туз</t>
  </si>
  <si>
    <t>Сариёг</t>
  </si>
  <si>
    <t>Бодринг</t>
  </si>
  <si>
    <t>Помидор</t>
  </si>
  <si>
    <t>Тухум</t>
  </si>
  <si>
    <t>Катик</t>
  </si>
  <si>
    <t>Сут</t>
  </si>
  <si>
    <t>Сут кадок. 3,2%</t>
  </si>
  <si>
    <t>Пишлок</t>
  </si>
  <si>
    <t>Тварог</t>
  </si>
  <si>
    <t>Томат пастаси</t>
  </si>
  <si>
    <t>Банан</t>
  </si>
  <si>
    <t>Олма</t>
  </si>
  <si>
    <t>Балгар</t>
  </si>
  <si>
    <t>Вермешел</t>
  </si>
  <si>
    <t>Горох</t>
  </si>
  <si>
    <t>Овсянка</t>
  </si>
  <si>
    <t>Гречка</t>
  </si>
  <si>
    <t>Перловка</t>
  </si>
  <si>
    <t>Саримсок</t>
  </si>
  <si>
    <t>Сметана</t>
  </si>
  <si>
    <t>Павидло</t>
  </si>
  <si>
    <t>Асал</t>
  </si>
  <si>
    <t>Пшеничная крупа</t>
  </si>
  <si>
    <t>Пшено</t>
  </si>
  <si>
    <t>Мош</t>
  </si>
  <si>
    <t>Нохат</t>
  </si>
  <si>
    <t>Майиз</t>
  </si>
  <si>
    <t>Балик</t>
  </si>
  <si>
    <t>Дрож</t>
  </si>
  <si>
    <t>Зелень</t>
  </si>
  <si>
    <t>Какао</t>
  </si>
  <si>
    <t>Карам</t>
  </si>
  <si>
    <t>Манка</t>
  </si>
  <si>
    <t>Сухари</t>
  </si>
  <si>
    <t>Уксус</t>
  </si>
  <si>
    <t>УН</t>
  </si>
  <si>
    <t>Лимон</t>
  </si>
  <si>
    <t>Фасол кизил ловлвги</t>
  </si>
  <si>
    <t>Фасол ок ловлвги</t>
  </si>
  <si>
    <t>Туруп</t>
  </si>
  <si>
    <t>Кизилча</t>
  </si>
  <si>
    <t>Курук мева урик</t>
  </si>
  <si>
    <t xml:space="preserve">Куйилтирилган сут </t>
  </si>
  <si>
    <t>Картошка крахмали</t>
  </si>
  <si>
    <t>Лапша</t>
  </si>
  <si>
    <t>Макарон</t>
  </si>
  <si>
    <t>Ячневая крупа</t>
  </si>
  <si>
    <t>Наматак</t>
  </si>
  <si>
    <t>Муроббо</t>
  </si>
  <si>
    <t>Олхури</t>
  </si>
  <si>
    <t>Разихител</t>
  </si>
  <si>
    <t>Канд упаси</t>
  </si>
  <si>
    <t>Ванилин</t>
  </si>
  <si>
    <t>Зираворлар</t>
  </si>
  <si>
    <t>Ошковаок</t>
  </si>
  <si>
    <t>Курутилган олма</t>
  </si>
  <si>
    <t>Ёнгок</t>
  </si>
  <si>
    <t>Курутилган нок</t>
  </si>
  <si>
    <t>Ковокча</t>
  </si>
  <si>
    <t>Кронсерваланган яшил нохот</t>
  </si>
  <si>
    <t>Бехи</t>
  </si>
  <si>
    <t>Товук феле</t>
  </si>
  <si>
    <t>Консерваланган бодиринг</t>
  </si>
  <si>
    <t>Редиска</t>
  </si>
  <si>
    <t>Курутилган баргак</t>
  </si>
  <si>
    <t>Нок</t>
  </si>
  <si>
    <t>Шпинат</t>
  </si>
  <si>
    <t>Қизил пиёз</t>
  </si>
  <si>
    <t>Мюсли пробиотикли</t>
  </si>
  <si>
    <t>Кашнич дони</t>
  </si>
  <si>
    <t>Жами</t>
  </si>
  <si>
    <t>Нонушта</t>
  </si>
  <si>
    <t xml:space="preserve"> Сариёгли бутерброд</t>
  </si>
  <si>
    <t>Тушлик</t>
  </si>
  <si>
    <t>150/15</t>
  </si>
  <si>
    <t>Димланган мол гўштидан 
бефстроган</t>
  </si>
  <si>
    <t xml:space="preserve"> Бодиринг(порцияли)</t>
  </si>
  <si>
    <t xml:space="preserve"> Буғдой нони</t>
  </si>
  <si>
    <t>Иккинчи тушлик</t>
  </si>
  <si>
    <t>Хамир учун</t>
  </si>
  <si>
    <t>Суртиш учун</t>
  </si>
  <si>
    <t>Сепиш учун</t>
  </si>
  <si>
    <t xml:space="preserve"> Кефир</t>
  </si>
  <si>
    <t>1 та бола учун кунлик жами</t>
  </si>
  <si>
    <t>жами махсулот сарфи</t>
  </si>
  <si>
    <t>Технолог__________</t>
  </si>
  <si>
    <t>Бош ошпаз ___________</t>
  </si>
  <si>
    <t>__________Р.Ярманов</t>
  </si>
  <si>
    <t>Ошковок</t>
  </si>
  <si>
    <t>Ширқовоқ (ошқовоқли гуруч 
бўтқаси)</t>
  </si>
  <si>
    <t xml:space="preserve"> Сутли какао</t>
  </si>
  <si>
    <t>Сариёгли бутерброд</t>
  </si>
  <si>
    <t>Қайнатма шўрва</t>
  </si>
  <si>
    <t>150/12</t>
  </si>
  <si>
    <t>Гарнир қайнатилган гречка 
ёрмаси</t>
  </si>
  <si>
    <t xml:space="preserve"> Шакароб салати</t>
  </si>
  <si>
    <t>Мавсумий мевалардан компот</t>
  </si>
  <si>
    <t>Плюшка булочка</t>
  </si>
  <si>
    <t>Кефир</t>
  </si>
  <si>
    <t xml:space="preserve"> Манний ёрмасидан бўтка</t>
  </si>
  <si>
    <t xml:space="preserve"> Пишлоқли омлет</t>
  </si>
  <si>
    <t xml:space="preserve"> Сутли чой</t>
  </si>
  <si>
    <t xml:space="preserve"> Мастава (Суп рисовый)</t>
  </si>
  <si>
    <t xml:space="preserve"> Сабзавот қўшилган гўштли рагу</t>
  </si>
  <si>
    <t>Карам ва бодирингли салат</t>
  </si>
  <si>
    <t xml:space="preserve"> Творогли ватрушка</t>
  </si>
  <si>
    <t>60/25</t>
  </si>
  <si>
    <t xml:space="preserve"> Мавсумий мева</t>
  </si>
  <si>
    <t>Асал чой</t>
  </si>
  <si>
    <t xml:space="preserve"> Сутли вермишелли суюқ ош</t>
  </si>
  <si>
    <t xml:space="preserve"> Сариёғли бутерброд</t>
  </si>
  <si>
    <t xml:space="preserve"> Гўшт қайнатмасида рассольник</t>
  </si>
  <si>
    <t xml:space="preserve"> Товуқ гўштидан гуляш</t>
  </si>
  <si>
    <t xml:space="preserve"> Гарнир димланган карам/картошка пюре</t>
  </si>
  <si>
    <t>Димланган карам учун</t>
  </si>
  <si>
    <t>130(65/65)</t>
  </si>
  <si>
    <t xml:space="preserve"> Картошка пюре учун</t>
  </si>
  <si>
    <t xml:space="preserve"> Мавсумий мевалардан компот</t>
  </si>
  <si>
    <t xml:space="preserve"> Балиқ гўштидан котлет</t>
  </si>
  <si>
    <t xml:space="preserve"> Бугдой нони</t>
  </si>
  <si>
    <t xml:space="preserve"> Шакар чой</t>
  </si>
  <si>
    <t xml:space="preserve"> Сули ёрмасидан бўтқа</t>
  </si>
  <si>
    <t xml:space="preserve"> Пишлоқли бутерброд</t>
  </si>
  <si>
    <t xml:space="preserve"> Қовурма шўрва</t>
  </si>
  <si>
    <t>Байрам палови</t>
  </si>
  <si>
    <t xml:space="preserve"> Аччик-чучук салати</t>
  </si>
  <si>
    <t xml:space="preserve"> Ошковок сомса</t>
  </si>
  <si>
    <t xml:space="preserve"> Гречка ёрмасидан бўтқа</t>
  </si>
  <si>
    <t xml:space="preserve"> Карам шўрва</t>
  </si>
  <si>
    <t xml:space="preserve"> Макарон жаркоп</t>
  </si>
  <si>
    <t xml:space="preserve"> «Витамин» салати</t>
  </si>
  <si>
    <t xml:space="preserve"> Қуруқ мевалардан компот</t>
  </si>
  <si>
    <t xml:space="preserve"> Шоколадли кекс</t>
  </si>
  <si>
    <t xml:space="preserve"> Гуручли- бўтқа</t>
  </si>
  <si>
    <t xml:space="preserve"> Пишлокли бутерброд</t>
  </si>
  <si>
    <t xml:space="preserve"> Юмалоқ қиймали 
(фрикадельки) вермешель 
шўрва</t>
  </si>
  <si>
    <t>Қийма учун</t>
  </si>
  <si>
    <t xml:space="preserve"> Товуқ гўштидан қўлбола 
картошка димлама</t>
  </si>
  <si>
    <t xml:space="preserve"> Наъматак компоти</t>
  </si>
  <si>
    <t xml:space="preserve"> Творогли суфле</t>
  </si>
  <si>
    <t xml:space="preserve"> Асал чой</t>
  </si>
  <si>
    <t xml:space="preserve"> Тариқ бўтқаси</t>
  </si>
  <si>
    <t xml:space="preserve"> Классик омлет</t>
  </si>
  <si>
    <t>Борш</t>
  </si>
  <si>
    <t>Шавла</t>
  </si>
  <si>
    <t xml:space="preserve"> Майизли кекс</t>
  </si>
  <si>
    <t xml:space="preserve"> Мампар</t>
  </si>
  <si>
    <t>150/10</t>
  </si>
  <si>
    <t>Гўштдан тайёрланган 
"Типратикан" тефтели</t>
  </si>
  <si>
    <t xml:space="preserve"> Гарнир сарик 
майдаланган(горох) пюре</t>
  </si>
  <si>
    <t xml:space="preserve"> Карам ва бодирннгли салат</t>
  </si>
  <si>
    <t>Қурук мевалардан компот</t>
  </si>
  <si>
    <t xml:space="preserve"> Олмали катламали пиширик</t>
  </si>
  <si>
    <t xml:space="preserve"> Хамир учун</t>
  </si>
  <si>
    <t>Начинка учун</t>
  </si>
  <si>
    <t xml:space="preserve"> Мюсли</t>
  </si>
  <si>
    <t>Сутли какао</t>
  </si>
  <si>
    <t xml:space="preserve"> Мол гўштида уграли шўрва</t>
  </si>
  <si>
    <t xml:space="preserve"> Балиқ гўштидан биточки</t>
  </si>
  <si>
    <t xml:space="preserve"> Картошка пюреси</t>
  </si>
  <si>
    <t xml:space="preserve"> Қўлбола-хонаки сомса (домашнаяя самса)</t>
  </si>
  <si>
    <t xml:space="preserve"> Чой</t>
  </si>
  <si>
    <t>Горох шўрва</t>
  </si>
  <si>
    <t xml:space="preserve"> Мол гўштидан гуляш</t>
  </si>
  <si>
    <t xml:space="preserve"> Димланган сабзавотлар</t>
  </si>
  <si>
    <t xml:space="preserve"> Ёнғок ва майизли рогалик</t>
  </si>
  <si>
    <t xml:space="preserve"> -МТТ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</si>
</sst>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dd\.mm\.yyyy"/>
    <numFmt numFmtId="166" formatCode="_-* #,##0\ _₽_-;\-* #,##0\ _₽_-;_-* &quot;-&quot;??\ _₽_-;_-@_-"/>
    <numFmt numFmtId="167" formatCode="0.0"/>
  </numFmts>
  <fonts count="8">
    <font>
      <sz val="11"/>
      <color theme="1"/>
      <name val="Calibri"/>
      <charset val="134"/>
      <scheme val="minor"/>
    </font>
    <font>
      <sz val="8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165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1" xfId="0" applyFont="1" applyBorder="1"/>
    <xf numFmtId="167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6" fontId="1" fillId="0" borderId="0" xfId="1" applyNumberFormat="1" applyFont="1" applyBorder="1"/>
    <xf numFmtId="0" fontId="5" fillId="0" borderId="0" xfId="0" applyFont="1"/>
    <xf numFmtId="0" fontId="1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center" vertical="center"/>
    </xf>
    <xf numFmtId="9" fontId="5" fillId="0" borderId="1" xfId="2" applyFont="1" applyBorder="1" applyAlignment="1">
      <alignment vertical="center" wrapText="1"/>
    </xf>
    <xf numFmtId="164" fontId="5" fillId="0" borderId="1" xfId="1" applyFont="1" applyBorder="1" applyAlignment="1">
      <alignment vertical="center" wrapText="1"/>
    </xf>
    <xf numFmtId="0" fontId="2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9" fontId="5" fillId="0" borderId="2" xfId="2" applyFont="1" applyBorder="1" applyAlignment="1">
      <alignment horizontal="center" vertical="center" wrapText="1"/>
    </xf>
    <xf numFmtId="9" fontId="5" fillId="0" borderId="3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5" fillId="0" borderId="2" xfId="1" applyFont="1" applyBorder="1" applyAlignment="1">
      <alignment horizontal="center" vertical="center" wrapText="1"/>
    </xf>
    <xf numFmtId="164" fontId="5" fillId="0" borderId="3" xfId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29</xdr:row>
      <xdr:rowOff>161925</xdr:rowOff>
    </xdr:from>
    <xdr:to>
      <xdr:col>11</xdr:col>
      <xdr:colOff>66675</xdr:colOff>
      <xdr:row>33</xdr:row>
      <xdr:rowOff>109071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E8A15A4-B5D8-ADC1-5AF7-519841300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525" y="6591300"/>
          <a:ext cx="1343025" cy="613896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0</xdr:row>
      <xdr:rowOff>0</xdr:rowOff>
    </xdr:from>
    <xdr:to>
      <xdr:col>93</xdr:col>
      <xdr:colOff>180975</xdr:colOff>
      <xdr:row>2</xdr:row>
      <xdr:rowOff>257175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4B592D6-8231-3709-B20B-C1304AE0F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8475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45</xdr:col>
      <xdr:colOff>304800</xdr:colOff>
      <xdr:row>0</xdr:row>
      <xdr:rowOff>0</xdr:rowOff>
    </xdr:from>
    <xdr:to>
      <xdr:col>93</xdr:col>
      <xdr:colOff>361950</xdr:colOff>
      <xdr:row>4</xdr:row>
      <xdr:rowOff>533400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EF2DD614-52FF-C10F-62FD-47193EFE5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9425" y="0"/>
          <a:ext cx="14478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29</xdr:row>
      <xdr:rowOff>67235</xdr:rowOff>
    </xdr:from>
    <xdr:to>
      <xdr:col>10</xdr:col>
      <xdr:colOff>177613</xdr:colOff>
      <xdr:row>33</xdr:row>
      <xdr:rowOff>142129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AE0D5A3-33B1-4623-ACE5-DC0FCA868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6441" y="6185647"/>
          <a:ext cx="1343025" cy="747247"/>
        </a:xfrm>
        <a:prstGeom prst="rect">
          <a:avLst/>
        </a:prstGeom>
      </xdr:spPr>
    </xdr:pic>
    <xdr:clientData/>
  </xdr:twoCellAnchor>
  <xdr:twoCellAnchor editAs="oneCell">
    <xdr:from>
      <xdr:col>51</xdr:col>
      <xdr:colOff>336176</xdr:colOff>
      <xdr:row>0</xdr:row>
      <xdr:rowOff>0</xdr:rowOff>
    </xdr:from>
    <xdr:to>
      <xdr:col>92</xdr:col>
      <xdr:colOff>138392</xdr:colOff>
      <xdr:row>2</xdr:row>
      <xdr:rowOff>253813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4560E41-A750-4B61-8B06-CAEF5C783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0382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48</xdr:col>
      <xdr:colOff>268941</xdr:colOff>
      <xdr:row>0</xdr:row>
      <xdr:rowOff>0</xdr:rowOff>
    </xdr:from>
    <xdr:to>
      <xdr:col>74</xdr:col>
      <xdr:colOff>248771</xdr:colOff>
      <xdr:row>4</xdr:row>
      <xdr:rowOff>532279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42047B7-3B99-4FD0-A846-10B54D58E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5765" y="0"/>
          <a:ext cx="14478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29</xdr:row>
      <xdr:rowOff>66676</xdr:rowOff>
    </xdr:from>
    <xdr:to>
      <xdr:col>9</xdr:col>
      <xdr:colOff>123825</xdr:colOff>
      <xdr:row>33</xdr:row>
      <xdr:rowOff>104776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184BBFF-EA49-413F-8D17-816BDB0C6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6315076"/>
          <a:ext cx="1343025" cy="704850"/>
        </a:xfrm>
        <a:prstGeom prst="rect">
          <a:avLst/>
        </a:prstGeom>
      </xdr:spPr>
    </xdr:pic>
    <xdr:clientData/>
  </xdr:twoCellAnchor>
  <xdr:twoCellAnchor editAs="oneCell">
    <xdr:from>
      <xdr:col>46</xdr:col>
      <xdr:colOff>304800</xdr:colOff>
      <xdr:row>0</xdr:row>
      <xdr:rowOff>0</xdr:rowOff>
    </xdr:from>
    <xdr:to>
      <xdr:col>92</xdr:col>
      <xdr:colOff>142875</xdr:colOff>
      <xdr:row>2</xdr:row>
      <xdr:rowOff>257175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E97875-2CD8-4574-B5E0-E5584348D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1350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45</xdr:col>
      <xdr:colOff>190500</xdr:colOff>
      <xdr:row>0</xdr:row>
      <xdr:rowOff>0</xdr:rowOff>
    </xdr:from>
    <xdr:to>
      <xdr:col>76</xdr:col>
      <xdr:colOff>228600</xdr:colOff>
      <xdr:row>4</xdr:row>
      <xdr:rowOff>533400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A63AE00-FCA8-470D-A313-C257A0E57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0"/>
          <a:ext cx="14478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29</xdr:row>
      <xdr:rowOff>95250</xdr:rowOff>
    </xdr:from>
    <xdr:to>
      <xdr:col>10</xdr:col>
      <xdr:colOff>152400</xdr:colOff>
      <xdr:row>34</xdr:row>
      <xdr:rowOff>32872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AAD30E2-4988-4307-B6D9-3DD61B799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7050" y="5857875"/>
          <a:ext cx="1343025" cy="747247"/>
        </a:xfrm>
        <a:prstGeom prst="rect">
          <a:avLst/>
        </a:prstGeom>
      </xdr:spPr>
    </xdr:pic>
    <xdr:clientData/>
  </xdr:twoCellAnchor>
  <xdr:twoCellAnchor editAs="oneCell">
    <xdr:from>
      <xdr:col>46</xdr:col>
      <xdr:colOff>9525</xdr:colOff>
      <xdr:row>0</xdr:row>
      <xdr:rowOff>0</xdr:rowOff>
    </xdr:from>
    <xdr:to>
      <xdr:col>89</xdr:col>
      <xdr:colOff>190500</xdr:colOff>
      <xdr:row>2</xdr:row>
      <xdr:rowOff>257175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2703B5-3A59-45A7-B2EC-0F793BDEA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525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0</xdr:row>
      <xdr:rowOff>0</xdr:rowOff>
    </xdr:from>
    <xdr:to>
      <xdr:col>70</xdr:col>
      <xdr:colOff>190500</xdr:colOff>
      <xdr:row>4</xdr:row>
      <xdr:rowOff>533400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7B1CEFD-952A-4C18-BEF1-A6EE5BE01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0" y="0"/>
          <a:ext cx="14478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323850</xdr:colOff>
      <xdr:row>29</xdr:row>
      <xdr:rowOff>142875</xdr:rowOff>
    </xdr:from>
    <xdr:to>
      <xdr:col>10</xdr:col>
      <xdr:colOff>200025</xdr:colOff>
      <xdr:row>34</xdr:row>
      <xdr:rowOff>80497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7182F2A-FFE0-411B-B027-48F7BCC1C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5381625"/>
          <a:ext cx="1343025" cy="747247"/>
        </a:xfrm>
        <a:prstGeom prst="rect">
          <a:avLst/>
        </a:prstGeom>
      </xdr:spPr>
    </xdr:pic>
    <xdr:clientData/>
  </xdr:twoCellAnchor>
  <xdr:twoCellAnchor editAs="oneCell">
    <xdr:from>
      <xdr:col>67</xdr:col>
      <xdr:colOff>257175</xdr:colOff>
      <xdr:row>0</xdr:row>
      <xdr:rowOff>0</xdr:rowOff>
    </xdr:from>
    <xdr:to>
      <xdr:col>80</xdr:col>
      <xdr:colOff>133350</xdr:colOff>
      <xdr:row>2</xdr:row>
      <xdr:rowOff>257175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A64D28C-5857-4935-B706-FE9FF298A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3425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68</xdr:col>
      <xdr:colOff>161925</xdr:colOff>
      <xdr:row>0</xdr:row>
      <xdr:rowOff>0</xdr:rowOff>
    </xdr:from>
    <xdr:to>
      <xdr:col>89</xdr:col>
      <xdr:colOff>266700</xdr:colOff>
      <xdr:row>4</xdr:row>
      <xdr:rowOff>533400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486F611-0D3D-4586-9D46-F9FE8B072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92025" y="0"/>
          <a:ext cx="14478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29</xdr:row>
      <xdr:rowOff>161926</xdr:rowOff>
    </xdr:from>
    <xdr:to>
      <xdr:col>11</xdr:col>
      <xdr:colOff>266700</xdr:colOff>
      <xdr:row>33</xdr:row>
      <xdr:rowOff>123826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E80A11D-7260-4BE5-8560-540301807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5" y="6162676"/>
          <a:ext cx="1343025" cy="628650"/>
        </a:xfrm>
        <a:prstGeom prst="rect">
          <a:avLst/>
        </a:prstGeom>
      </xdr:spPr>
    </xdr:pic>
    <xdr:clientData/>
  </xdr:twoCellAnchor>
  <xdr:twoCellAnchor editAs="oneCell">
    <xdr:from>
      <xdr:col>63</xdr:col>
      <xdr:colOff>342900</xdr:colOff>
      <xdr:row>0</xdr:row>
      <xdr:rowOff>0</xdr:rowOff>
    </xdr:from>
    <xdr:to>
      <xdr:col>89</xdr:col>
      <xdr:colOff>123825</xdr:colOff>
      <xdr:row>2</xdr:row>
      <xdr:rowOff>257175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4D7E6D7-AB45-4C60-B6DF-5E4A6BBA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0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59</xdr:col>
      <xdr:colOff>85725</xdr:colOff>
      <xdr:row>0</xdr:row>
      <xdr:rowOff>0</xdr:rowOff>
    </xdr:from>
    <xdr:to>
      <xdr:col>77</xdr:col>
      <xdr:colOff>104775</xdr:colOff>
      <xdr:row>4</xdr:row>
      <xdr:rowOff>533400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D360FED-6DB4-407B-B4F4-E2183EB8B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7225" y="0"/>
          <a:ext cx="1447800" cy="1428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47625</xdr:rowOff>
    </xdr:from>
    <xdr:to>
      <xdr:col>10</xdr:col>
      <xdr:colOff>304800</xdr:colOff>
      <xdr:row>33</xdr:row>
      <xdr:rowOff>128122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7F2F45C-B102-4051-8A5C-FF8F8692D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5600700"/>
          <a:ext cx="1343025" cy="747247"/>
        </a:xfrm>
        <a:prstGeom prst="rect">
          <a:avLst/>
        </a:prstGeom>
      </xdr:spPr>
    </xdr:pic>
    <xdr:clientData/>
  </xdr:twoCellAnchor>
  <xdr:twoCellAnchor editAs="oneCell">
    <xdr:from>
      <xdr:col>56</xdr:col>
      <xdr:colOff>257175</xdr:colOff>
      <xdr:row>0</xdr:row>
      <xdr:rowOff>0</xdr:rowOff>
    </xdr:from>
    <xdr:to>
      <xdr:col>89</xdr:col>
      <xdr:colOff>142875</xdr:colOff>
      <xdr:row>2</xdr:row>
      <xdr:rowOff>257175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435A50C-A5BA-4876-9B50-6091CB92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2975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52</xdr:col>
      <xdr:colOff>238125</xdr:colOff>
      <xdr:row>0</xdr:row>
      <xdr:rowOff>0</xdr:rowOff>
    </xdr:from>
    <xdr:to>
      <xdr:col>68</xdr:col>
      <xdr:colOff>295275</xdr:colOff>
      <xdr:row>4</xdr:row>
      <xdr:rowOff>533400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8E14D3A-CBB7-46AC-BC22-6ADA78438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2925" y="0"/>
          <a:ext cx="1447800" cy="14287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29</xdr:row>
      <xdr:rowOff>67235</xdr:rowOff>
    </xdr:from>
    <xdr:to>
      <xdr:col>10</xdr:col>
      <xdr:colOff>177613</xdr:colOff>
      <xdr:row>33</xdr:row>
      <xdr:rowOff>142129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DEAEAEB-E3C5-487E-ACD3-CCF2AE8CC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6441" y="6678706"/>
          <a:ext cx="1343025" cy="747247"/>
        </a:xfrm>
        <a:prstGeom prst="rect">
          <a:avLst/>
        </a:prstGeom>
      </xdr:spPr>
    </xdr:pic>
    <xdr:clientData/>
  </xdr:twoCellAnchor>
  <xdr:twoCellAnchor editAs="oneCell">
    <xdr:from>
      <xdr:col>71</xdr:col>
      <xdr:colOff>257735</xdr:colOff>
      <xdr:row>0</xdr:row>
      <xdr:rowOff>0</xdr:rowOff>
    </xdr:from>
    <xdr:to>
      <xdr:col>89</xdr:col>
      <xdr:colOff>149598</xdr:colOff>
      <xdr:row>2</xdr:row>
      <xdr:rowOff>253813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B4972E3-3F40-4708-A5BD-DC7ADD317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8029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51</xdr:col>
      <xdr:colOff>358589</xdr:colOff>
      <xdr:row>0</xdr:row>
      <xdr:rowOff>0</xdr:rowOff>
    </xdr:from>
    <xdr:to>
      <xdr:col>84</xdr:col>
      <xdr:colOff>13448</xdr:colOff>
      <xdr:row>4</xdr:row>
      <xdr:rowOff>532279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378789B-E963-41C5-AAB4-B870393D2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6883" y="0"/>
          <a:ext cx="1447800" cy="1428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369794</xdr:colOff>
      <xdr:row>29</xdr:row>
      <xdr:rowOff>89647</xdr:rowOff>
    </xdr:from>
    <xdr:to>
      <xdr:col>10</xdr:col>
      <xdr:colOff>166407</xdr:colOff>
      <xdr:row>34</xdr:row>
      <xdr:rowOff>18865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85E681A-E54D-4B79-8A9D-61C485515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5" y="7149353"/>
          <a:ext cx="1343025" cy="747247"/>
        </a:xfrm>
        <a:prstGeom prst="rect">
          <a:avLst/>
        </a:prstGeom>
      </xdr:spPr>
    </xdr:pic>
    <xdr:clientData/>
  </xdr:twoCellAnchor>
  <xdr:twoCellAnchor editAs="oneCell">
    <xdr:from>
      <xdr:col>43</xdr:col>
      <xdr:colOff>381000</xdr:colOff>
      <xdr:row>0</xdr:row>
      <xdr:rowOff>0</xdr:rowOff>
    </xdr:from>
    <xdr:to>
      <xdr:col>89</xdr:col>
      <xdr:colOff>93569</xdr:colOff>
      <xdr:row>2</xdr:row>
      <xdr:rowOff>253813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8DE1848-87A0-48D1-A524-77337DA2E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2441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43</xdr:col>
      <xdr:colOff>291353</xdr:colOff>
      <xdr:row>0</xdr:row>
      <xdr:rowOff>0</xdr:rowOff>
    </xdr:from>
    <xdr:to>
      <xdr:col>89</xdr:col>
      <xdr:colOff>203947</xdr:colOff>
      <xdr:row>4</xdr:row>
      <xdr:rowOff>532279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8DDC0AA-E15F-47F2-B2E0-B83F065A8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2794" y="0"/>
          <a:ext cx="1447800" cy="14287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29</xdr:row>
      <xdr:rowOff>104775</xdr:rowOff>
    </xdr:from>
    <xdr:to>
      <xdr:col>10</xdr:col>
      <xdr:colOff>104775</xdr:colOff>
      <xdr:row>34</xdr:row>
      <xdr:rowOff>42397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ECC7EB2-E905-49A5-9747-A82C9CD9B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7525" y="5800725"/>
          <a:ext cx="1343025" cy="747247"/>
        </a:xfrm>
        <a:prstGeom prst="rect">
          <a:avLst/>
        </a:prstGeom>
      </xdr:spPr>
    </xdr:pic>
    <xdr:clientData/>
  </xdr:twoCellAnchor>
  <xdr:twoCellAnchor editAs="oneCell">
    <xdr:from>
      <xdr:col>71</xdr:col>
      <xdr:colOff>171450</xdr:colOff>
      <xdr:row>0</xdr:row>
      <xdr:rowOff>0</xdr:rowOff>
    </xdr:from>
    <xdr:to>
      <xdr:col>89</xdr:col>
      <xdr:colOff>66675</xdr:colOff>
      <xdr:row>2</xdr:row>
      <xdr:rowOff>257175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8143C35-1AC5-45B4-80AB-72CE05DD1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0" y="0"/>
          <a:ext cx="1247775" cy="657225"/>
        </a:xfrm>
        <a:prstGeom prst="rect">
          <a:avLst/>
        </a:prstGeom>
      </xdr:spPr>
    </xdr:pic>
    <xdr:clientData/>
  </xdr:twoCellAnchor>
  <xdr:twoCellAnchor editAs="oneCell">
    <xdr:from>
      <xdr:col>71</xdr:col>
      <xdr:colOff>142875</xdr:colOff>
      <xdr:row>0</xdr:row>
      <xdr:rowOff>0</xdr:rowOff>
    </xdr:from>
    <xdr:to>
      <xdr:col>89</xdr:col>
      <xdr:colOff>238125</xdr:colOff>
      <xdr:row>4</xdr:row>
      <xdr:rowOff>533400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E1C96FE-B973-4286-B9E6-734D086DA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0"/>
          <a:ext cx="14478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13">
    <pageSetUpPr fitToPage="1"/>
  </sheetPr>
  <dimension ref="A1:CP33"/>
  <sheetViews>
    <sheetView view="pageBreakPreview" zoomScaleNormal="100" workbookViewId="0">
      <selection activeCell="F32" sqref="F32:AE32"/>
    </sheetView>
  </sheetViews>
  <sheetFormatPr defaultColWidth="9.140625" defaultRowHeight="11.25"/>
  <cols>
    <col min="1" max="1" width="10.140625" style="1" customWidth="1"/>
    <col min="2" max="2" width="11.7109375" style="1" customWidth="1"/>
    <col min="3" max="3" width="9.5703125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hidden="1" customWidth="1"/>
    <col min="8" max="8" width="6.85546875" style="1" customWidth="1"/>
    <col min="9" max="9" width="5.28515625" style="1" hidden="1" customWidth="1"/>
    <col min="10" max="10" width="5.28515625" style="1" customWidth="1"/>
    <col min="11" max="11" width="5.85546875" style="1" customWidth="1"/>
    <col min="12" max="12" width="5.7109375" style="1" customWidth="1"/>
    <col min="13" max="13" width="6" style="1" customWidth="1"/>
    <col min="14" max="14" width="5.140625" style="1" customWidth="1"/>
    <col min="15" max="15" width="5.7109375" style="1" customWidth="1"/>
    <col min="16" max="16" width="4.7109375" style="1" customWidth="1"/>
    <col min="17" max="17" width="6" style="1" customWidth="1"/>
    <col min="18" max="19" width="5.5703125" style="1" customWidth="1"/>
    <col min="20" max="20" width="5.140625" style="1" customWidth="1"/>
    <col min="21" max="21" width="6.28515625" style="1" customWidth="1"/>
    <col min="22" max="22" width="4.85546875" style="1" hidden="1" customWidth="1"/>
    <col min="23" max="23" width="6" style="1" customWidth="1"/>
    <col min="24" max="24" width="5.28515625" style="1" hidden="1" customWidth="1"/>
    <col min="25" max="25" width="5.85546875" style="1" hidden="1" customWidth="1"/>
    <col min="26" max="26" width="5.5703125" style="1" customWidth="1"/>
    <col min="27" max="27" width="6.42578125" style="1" hidden="1" customWidth="1"/>
    <col min="28" max="28" width="6.5703125" style="1" customWidth="1"/>
    <col min="29" max="31" width="4.85546875" style="1" hidden="1" customWidth="1"/>
    <col min="32" max="32" width="5.7109375" style="1" hidden="1" customWidth="1"/>
    <col min="33" max="33" width="5.28515625" style="1" customWidth="1"/>
    <col min="34" max="34" width="5.42578125" style="1" hidden="1" customWidth="1"/>
    <col min="35" max="35" width="5.28515625" style="1" customWidth="1"/>
    <col min="36" max="36" width="5.28515625" style="1" hidden="1" customWidth="1"/>
    <col min="37" max="37" width="4.85546875" style="1" hidden="1" customWidth="1"/>
    <col min="38" max="38" width="5.85546875" style="1" hidden="1" customWidth="1"/>
    <col min="39" max="39" width="4.85546875" style="1" hidden="1" customWidth="1"/>
    <col min="40" max="40" width="5.42578125" style="1" hidden="1" customWidth="1"/>
    <col min="41" max="41" width="4.7109375" style="1" hidden="1" customWidth="1"/>
    <col min="42" max="43" width="5.42578125" style="1" hidden="1" customWidth="1"/>
    <col min="44" max="44" width="6.140625" style="1" hidden="1" customWidth="1"/>
    <col min="45" max="45" width="5.42578125" style="1" customWidth="1"/>
    <col min="46" max="46" width="4.85546875" style="1" customWidth="1"/>
    <col min="47" max="47" width="5.42578125" style="1" customWidth="1"/>
    <col min="48" max="48" width="5.140625" style="1" hidden="1" customWidth="1"/>
    <col min="49" max="49" width="5.28515625" style="1" hidden="1" customWidth="1"/>
    <col min="50" max="51" width="5.42578125" style="1" hidden="1" customWidth="1"/>
    <col min="52" max="52" width="5.7109375" style="1" customWidth="1"/>
    <col min="53" max="53" width="5.7109375" style="1" hidden="1" customWidth="1"/>
    <col min="54" max="63" width="4.85546875" style="1" hidden="1" customWidth="1"/>
    <col min="64" max="64" width="5.85546875" style="1" hidden="1" customWidth="1"/>
    <col min="65" max="65" width="6" style="1" hidden="1" customWidth="1"/>
    <col min="66" max="66" width="4.85546875" style="1" hidden="1" customWidth="1"/>
    <col min="67" max="67" width="5.42578125" style="1" hidden="1" customWidth="1"/>
    <col min="68" max="68" width="4.85546875" style="1" hidden="1" customWidth="1"/>
    <col min="69" max="69" width="5.28515625" style="1" hidden="1" customWidth="1"/>
    <col min="70" max="70" width="6.140625" style="1" hidden="1" customWidth="1"/>
    <col min="71" max="71" width="4.85546875" style="1" customWidth="1"/>
    <col min="72" max="72" width="5.42578125" style="1" hidden="1" customWidth="1"/>
    <col min="73" max="73" width="4.85546875" style="1" hidden="1" customWidth="1"/>
    <col min="74" max="74" width="5" style="1" hidden="1" customWidth="1"/>
    <col min="75" max="77" width="4.85546875" style="1" hidden="1" customWidth="1"/>
    <col min="78" max="78" width="5.42578125" style="1" hidden="1" customWidth="1"/>
    <col min="79" max="79" width="5.85546875" style="1" hidden="1" customWidth="1"/>
    <col min="80" max="80" width="5.5703125" style="1" hidden="1" customWidth="1"/>
    <col min="81" max="81" width="5" style="1" hidden="1" customWidth="1"/>
    <col min="82" max="93" width="4.85546875" style="1" hidden="1" customWidth="1"/>
    <col min="94" max="94" width="10.28515625" style="1" customWidth="1"/>
    <col min="95" max="16384" width="9.140625" style="1"/>
  </cols>
  <sheetData>
    <row r="1" spans="1:94" ht="15.75">
      <c r="A1" s="34">
        <v>46267</v>
      </c>
      <c r="B1" s="34"/>
      <c r="C1" s="2"/>
      <c r="E1" s="3"/>
      <c r="F1" s="35" t="s">
        <v>183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</row>
    <row r="2" spans="1:94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</row>
    <row r="3" spans="1:94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</row>
    <row r="4" spans="1:94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</row>
    <row r="5" spans="1:94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105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 t="s">
        <v>85</v>
      </c>
      <c r="CH5" s="7" t="s">
        <v>86</v>
      </c>
      <c r="CI5" s="7"/>
      <c r="CJ5" s="7"/>
      <c r="CK5" s="7"/>
      <c r="CL5" s="7"/>
      <c r="CM5" s="7"/>
      <c r="CN5" s="7"/>
      <c r="CO5" s="7"/>
      <c r="CP5" s="10" t="s">
        <v>87</v>
      </c>
    </row>
    <row r="6" spans="1:94" ht="26.25" customHeight="1">
      <c r="A6" s="47" t="s">
        <v>88</v>
      </c>
      <c r="B6" s="45" t="s">
        <v>106</v>
      </c>
      <c r="C6" s="46"/>
      <c r="D6" s="37">
        <v>150</v>
      </c>
      <c r="E6" s="38"/>
      <c r="F6" s="12"/>
      <c r="G6" s="12"/>
      <c r="H6" s="12"/>
      <c r="I6" s="12"/>
      <c r="J6" s="12"/>
      <c r="K6" s="12">
        <v>3</v>
      </c>
      <c r="L6" s="12">
        <v>17</v>
      </c>
      <c r="M6" s="12"/>
      <c r="N6" s="12"/>
      <c r="O6" s="12"/>
      <c r="P6" s="12">
        <v>0.75</v>
      </c>
      <c r="Q6" s="12">
        <v>1.6</v>
      </c>
      <c r="R6" s="12"/>
      <c r="S6" s="12"/>
      <c r="T6" s="12"/>
      <c r="U6" s="12"/>
      <c r="V6" s="12"/>
      <c r="W6" s="12">
        <v>75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>
        <v>35</v>
      </c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3">
        <f t="shared" ref="CP6:CP25" si="0">SUM(F6:CO6)</f>
        <v>132.35</v>
      </c>
    </row>
    <row r="7" spans="1:94" ht="26.25" customHeight="1">
      <c r="A7" s="48"/>
      <c r="B7" s="28" t="s">
        <v>107</v>
      </c>
      <c r="C7" s="29"/>
      <c r="D7" s="37">
        <v>150</v>
      </c>
      <c r="E7" s="38"/>
      <c r="F7" s="12"/>
      <c r="G7" s="12"/>
      <c r="H7" s="12"/>
      <c r="I7" s="12"/>
      <c r="J7" s="12"/>
      <c r="K7" s="12">
        <v>7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>
        <v>75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>
        <v>2</v>
      </c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3">
        <f t="shared" si="0"/>
        <v>84</v>
      </c>
    </row>
    <row r="8" spans="1:94" ht="26.25" customHeight="1">
      <c r="A8" s="48"/>
      <c r="B8" s="28" t="s">
        <v>108</v>
      </c>
      <c r="C8" s="29"/>
      <c r="D8" s="37">
        <v>50</v>
      </c>
      <c r="E8" s="38"/>
      <c r="F8" s="12">
        <v>40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10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3">
        <f t="shared" si="0"/>
        <v>50</v>
      </c>
    </row>
    <row r="9" spans="1:94" ht="26.25" hidden="1" customHeight="1">
      <c r="A9" s="49"/>
      <c r="B9" s="28"/>
      <c r="C9" s="29"/>
      <c r="D9" s="37"/>
      <c r="E9" s="3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3">
        <f t="shared" si="0"/>
        <v>0</v>
      </c>
    </row>
    <row r="10" spans="1:94" ht="26.25" customHeight="1">
      <c r="A10" s="47" t="s">
        <v>90</v>
      </c>
      <c r="B10" s="45" t="s">
        <v>109</v>
      </c>
      <c r="C10" s="46"/>
      <c r="D10" s="37" t="s">
        <v>110</v>
      </c>
      <c r="E10" s="38"/>
      <c r="F10" s="12"/>
      <c r="G10" s="12"/>
      <c r="H10" s="12">
        <v>34</v>
      </c>
      <c r="I10" s="12"/>
      <c r="J10" s="12"/>
      <c r="K10" s="12"/>
      <c r="L10" s="12"/>
      <c r="M10" s="12">
        <v>37.5</v>
      </c>
      <c r="N10" s="12">
        <v>16.3</v>
      </c>
      <c r="O10" s="12">
        <v>17.899999999999999</v>
      </c>
      <c r="P10" s="12">
        <v>0.5</v>
      </c>
      <c r="Q10" s="12"/>
      <c r="R10" s="12"/>
      <c r="S10" s="12"/>
      <c r="T10" s="12"/>
      <c r="U10" s="12"/>
      <c r="V10" s="12"/>
      <c r="W10" s="12"/>
      <c r="X10" s="12"/>
      <c r="Y10" s="12"/>
      <c r="Z10" s="12">
        <v>1.5</v>
      </c>
      <c r="AA10" s="12"/>
      <c r="AB10" s="12"/>
      <c r="AC10" s="12"/>
      <c r="AD10" s="12"/>
      <c r="AE10" s="12"/>
      <c r="AF10" s="12"/>
      <c r="AG10" s="12"/>
      <c r="AH10" s="12"/>
      <c r="AI10" s="12">
        <v>1.1000000000000001</v>
      </c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>
        <v>1.8</v>
      </c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3">
        <f t="shared" si="0"/>
        <v>110.59999999999998</v>
      </c>
    </row>
    <row r="11" spans="1:94" ht="26.25" customHeight="1">
      <c r="A11" s="48"/>
      <c r="B11" s="61" t="s">
        <v>92</v>
      </c>
      <c r="C11" s="62"/>
      <c r="D11" s="39">
        <v>60</v>
      </c>
      <c r="E11" s="40"/>
      <c r="F11" s="12"/>
      <c r="G11" s="12"/>
      <c r="H11" s="12">
        <v>64.2</v>
      </c>
      <c r="I11" s="12"/>
      <c r="J11" s="12">
        <v>3.5</v>
      </c>
      <c r="K11" s="12"/>
      <c r="L11" s="12"/>
      <c r="M11" s="12"/>
      <c r="N11" s="12"/>
      <c r="O11" s="12">
        <v>17.399999999999999</v>
      </c>
      <c r="P11" s="12">
        <v>1</v>
      </c>
      <c r="Q11" s="12"/>
      <c r="R11" s="12"/>
      <c r="S11" s="12"/>
      <c r="T11" s="12"/>
      <c r="U11" s="12"/>
      <c r="V11" s="12"/>
      <c r="W11" s="12"/>
      <c r="X11" s="12"/>
      <c r="Y11" s="12"/>
      <c r="Z11" s="12">
        <v>1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>
        <v>1</v>
      </c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3">
        <f t="shared" si="0"/>
        <v>88.1</v>
      </c>
    </row>
    <row r="12" spans="1:94" ht="26.25" customHeight="1">
      <c r="A12" s="48"/>
      <c r="B12" s="45" t="s">
        <v>111</v>
      </c>
      <c r="C12" s="46"/>
      <c r="D12" s="39">
        <v>100</v>
      </c>
      <c r="E12" s="40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v>1</v>
      </c>
      <c r="Q12" s="12">
        <v>3.7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>
        <v>30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3">
        <f t="shared" si="0"/>
        <v>34.700000000000003</v>
      </c>
    </row>
    <row r="13" spans="1:94" ht="26.25" customHeight="1">
      <c r="A13" s="48"/>
      <c r="B13" s="45" t="s">
        <v>112</v>
      </c>
      <c r="C13" s="46"/>
      <c r="D13" s="39">
        <v>45</v>
      </c>
      <c r="E13" s="40"/>
      <c r="F13" s="12"/>
      <c r="G13" s="12"/>
      <c r="H13" s="12"/>
      <c r="I13" s="12"/>
      <c r="J13" s="12">
        <v>1</v>
      </c>
      <c r="K13" s="12"/>
      <c r="L13" s="12"/>
      <c r="M13" s="12"/>
      <c r="N13" s="12"/>
      <c r="O13" s="12"/>
      <c r="P13" s="12">
        <v>0.3</v>
      </c>
      <c r="Q13" s="12"/>
      <c r="R13" s="12">
        <v>28.1</v>
      </c>
      <c r="S13" s="12">
        <v>25.9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3">
        <f t="shared" si="0"/>
        <v>55.3</v>
      </c>
    </row>
    <row r="14" spans="1:94" ht="26.25" customHeight="1">
      <c r="A14" s="48"/>
      <c r="B14" s="28" t="s">
        <v>113</v>
      </c>
      <c r="C14" s="29"/>
      <c r="D14" s="37">
        <v>150</v>
      </c>
      <c r="E14" s="38"/>
      <c r="F14" s="12"/>
      <c r="G14" s="12"/>
      <c r="H14" s="12"/>
      <c r="I14" s="12"/>
      <c r="J14" s="12"/>
      <c r="K14" s="12">
        <v>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42.9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3">
        <f t="shared" si="0"/>
        <v>50.9</v>
      </c>
    </row>
    <row r="15" spans="1:94" ht="26.25" customHeight="1">
      <c r="A15" s="48"/>
      <c r="B15" s="28" t="s">
        <v>94</v>
      </c>
      <c r="C15" s="29"/>
      <c r="D15" s="37">
        <v>60</v>
      </c>
      <c r="E15" s="38"/>
      <c r="F15" s="12">
        <v>60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3">
        <f t="shared" si="0"/>
        <v>60</v>
      </c>
    </row>
    <row r="16" spans="1:94" ht="26.25" hidden="1" customHeight="1">
      <c r="A16" s="48"/>
      <c r="B16" s="28"/>
      <c r="C16" s="29"/>
      <c r="D16" s="37"/>
      <c r="E16" s="3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3">
        <f t="shared" si="0"/>
        <v>0</v>
      </c>
    </row>
    <row r="17" spans="1:94" ht="26.25" hidden="1" customHeight="1">
      <c r="A17" s="49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3">
        <f t="shared" si="0"/>
        <v>0</v>
      </c>
    </row>
    <row r="18" spans="1:94" ht="26.25" customHeight="1">
      <c r="A18" s="57" t="s">
        <v>95</v>
      </c>
      <c r="B18" s="41" t="s">
        <v>114</v>
      </c>
      <c r="C18" s="14" t="s">
        <v>96</v>
      </c>
      <c r="D18" s="63">
        <v>60</v>
      </c>
      <c r="E18" s="64"/>
      <c r="F18" s="12"/>
      <c r="G18" s="12"/>
      <c r="H18" s="12"/>
      <c r="I18" s="12"/>
      <c r="J18" s="12">
        <v>1</v>
      </c>
      <c r="K18" s="12">
        <v>7.8</v>
      </c>
      <c r="L18" s="12"/>
      <c r="N18" s="12"/>
      <c r="O18" s="12"/>
      <c r="P18" s="12">
        <v>0.8</v>
      </c>
      <c r="Q18" s="12">
        <v>2.6</v>
      </c>
      <c r="R18" s="12"/>
      <c r="S18" s="12"/>
      <c r="T18" s="12">
        <v>6.1</v>
      </c>
      <c r="U18" s="12"/>
      <c r="V18" s="12"/>
      <c r="W18" s="12">
        <v>15.6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>
        <v>1.04</v>
      </c>
      <c r="AT18" s="12"/>
      <c r="AU18" s="12"/>
      <c r="AV18" s="12"/>
      <c r="AW18" s="12"/>
      <c r="AX18" s="12"/>
      <c r="AY18" s="12"/>
      <c r="AZ18" s="12">
        <v>30.8</v>
      </c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3">
        <f t="shared" si="0"/>
        <v>65.739999999999995</v>
      </c>
    </row>
    <row r="19" spans="1:94" ht="26.25" customHeight="1">
      <c r="A19" s="58"/>
      <c r="B19" s="41"/>
      <c r="C19" s="14" t="s">
        <v>97</v>
      </c>
      <c r="D19" s="65"/>
      <c r="E19" s="66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>
        <v>2.2999999999999998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3">
        <f t="shared" si="0"/>
        <v>2.2999999999999998</v>
      </c>
    </row>
    <row r="20" spans="1:94" ht="26.25" customHeight="1">
      <c r="A20" s="58"/>
      <c r="B20" s="41"/>
      <c r="C20" s="25" t="s">
        <v>98</v>
      </c>
      <c r="D20" s="39"/>
      <c r="E20" s="40"/>
      <c r="F20" s="12"/>
      <c r="G20" s="12"/>
      <c r="H20" s="12"/>
      <c r="I20" s="12"/>
      <c r="J20" s="12"/>
      <c r="K20" s="12">
        <v>2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3">
        <f t="shared" si="0"/>
        <v>2</v>
      </c>
    </row>
    <row r="21" spans="1:94" ht="26.25" customHeight="1">
      <c r="A21" s="59"/>
      <c r="B21" s="41" t="s">
        <v>115</v>
      </c>
      <c r="C21" s="41"/>
      <c r="D21" s="52">
        <v>150</v>
      </c>
      <c r="E21" s="5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>
        <v>150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3">
        <f t="shared" si="0"/>
        <v>150</v>
      </c>
    </row>
    <row r="22" spans="1:94" ht="24.75" hidden="1" customHeight="1">
      <c r="A22" s="60"/>
      <c r="B22" s="28"/>
      <c r="C22" s="29"/>
      <c r="D22" s="52"/>
      <c r="E22" s="5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3">
        <f t="shared" si="0"/>
        <v>0</v>
      </c>
    </row>
    <row r="23" spans="1:94" ht="24.75" hidden="1" customHeight="1">
      <c r="A23" s="60"/>
      <c r="B23" s="28"/>
      <c r="C23" s="29"/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3">
        <f t="shared" si="0"/>
        <v>0</v>
      </c>
    </row>
    <row r="24" spans="1:94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3">
        <f t="shared" si="0"/>
        <v>0</v>
      </c>
    </row>
    <row r="25" spans="1:94" ht="0.75" customHeight="1">
      <c r="A25" s="60"/>
      <c r="B25" s="33"/>
      <c r="C25" s="33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3">
        <f t="shared" si="0"/>
        <v>0</v>
      </c>
    </row>
    <row r="26" spans="1:94" ht="18.75" customHeight="1">
      <c r="A26" s="53" t="s">
        <v>100</v>
      </c>
      <c r="B26" s="54"/>
      <c r="C26" s="54"/>
      <c r="D26" s="55"/>
      <c r="E26" s="18"/>
      <c r="F26" s="19">
        <f t="shared" ref="F26:BQ26" si="1">SUM(F6:F21)</f>
        <v>100</v>
      </c>
      <c r="G26" s="19">
        <f t="shared" si="1"/>
        <v>0</v>
      </c>
      <c r="H26" s="19">
        <f t="shared" si="1"/>
        <v>98.2</v>
      </c>
      <c r="I26" s="19">
        <f t="shared" si="1"/>
        <v>0</v>
      </c>
      <c r="J26" s="19">
        <f t="shared" si="1"/>
        <v>5.5</v>
      </c>
      <c r="K26" s="19">
        <f t="shared" si="1"/>
        <v>27.8</v>
      </c>
      <c r="L26" s="19">
        <f t="shared" si="1"/>
        <v>17</v>
      </c>
      <c r="M26" s="19">
        <f t="shared" si="1"/>
        <v>37.5</v>
      </c>
      <c r="N26" s="19">
        <f t="shared" si="1"/>
        <v>16.3</v>
      </c>
      <c r="O26" s="19">
        <f t="shared" si="1"/>
        <v>35.299999999999997</v>
      </c>
      <c r="P26" s="19">
        <f t="shared" si="1"/>
        <v>4.3499999999999996</v>
      </c>
      <c r="Q26" s="19">
        <f t="shared" si="1"/>
        <v>17.900000000000002</v>
      </c>
      <c r="R26" s="19">
        <f t="shared" si="1"/>
        <v>28.1</v>
      </c>
      <c r="S26" s="19">
        <f t="shared" si="1"/>
        <v>25.9</v>
      </c>
      <c r="T26" s="19">
        <f t="shared" si="1"/>
        <v>8.3999999999999986</v>
      </c>
      <c r="U26" s="19">
        <f t="shared" si="1"/>
        <v>150</v>
      </c>
      <c r="V26" s="19">
        <f t="shared" si="1"/>
        <v>0</v>
      </c>
      <c r="W26" s="19">
        <f t="shared" si="1"/>
        <v>165.6</v>
      </c>
      <c r="X26" s="19">
        <f t="shared" si="1"/>
        <v>0</v>
      </c>
      <c r="Y26" s="19">
        <f t="shared" si="1"/>
        <v>0</v>
      </c>
      <c r="Z26" s="19">
        <f t="shared" si="1"/>
        <v>2.5</v>
      </c>
      <c r="AA26" s="19">
        <f t="shared" si="1"/>
        <v>0</v>
      </c>
      <c r="AB26" s="19">
        <f t="shared" si="1"/>
        <v>42.9</v>
      </c>
      <c r="AC26" s="19">
        <f t="shared" si="1"/>
        <v>0</v>
      </c>
      <c r="AD26" s="19">
        <f t="shared" si="1"/>
        <v>0</v>
      </c>
      <c r="AE26" s="19">
        <f t="shared" si="1"/>
        <v>0</v>
      </c>
      <c r="AF26" s="19">
        <f t="shared" si="1"/>
        <v>0</v>
      </c>
      <c r="AG26" s="19">
        <f t="shared" si="1"/>
        <v>30</v>
      </c>
      <c r="AH26" s="19">
        <f t="shared" si="1"/>
        <v>0</v>
      </c>
      <c r="AI26" s="19">
        <f t="shared" si="1"/>
        <v>1.1000000000000001</v>
      </c>
      <c r="AJ26" s="19">
        <f t="shared" si="1"/>
        <v>0</v>
      </c>
      <c r="AK26" s="19">
        <f t="shared" si="1"/>
        <v>0</v>
      </c>
      <c r="AL26" s="19">
        <f t="shared" si="1"/>
        <v>0</v>
      </c>
      <c r="AM26" s="19">
        <f t="shared" si="1"/>
        <v>0</v>
      </c>
      <c r="AN26" s="19">
        <f t="shared" si="1"/>
        <v>0</v>
      </c>
      <c r="AO26" s="19">
        <f t="shared" si="1"/>
        <v>0</v>
      </c>
      <c r="AP26" s="19">
        <f t="shared" si="1"/>
        <v>0</v>
      </c>
      <c r="AQ26" s="19">
        <f t="shared" si="1"/>
        <v>0</v>
      </c>
      <c r="AR26" s="19">
        <f t="shared" si="1"/>
        <v>0</v>
      </c>
      <c r="AS26" s="19">
        <f t="shared" si="1"/>
        <v>1.04</v>
      </c>
      <c r="AT26" s="19">
        <f t="shared" si="1"/>
        <v>1.8</v>
      </c>
      <c r="AU26" s="19">
        <f t="shared" si="1"/>
        <v>2</v>
      </c>
      <c r="AV26" s="19">
        <f t="shared" si="1"/>
        <v>0</v>
      </c>
      <c r="AW26" s="19">
        <f t="shared" si="1"/>
        <v>0</v>
      </c>
      <c r="AX26" s="19">
        <f t="shared" si="1"/>
        <v>0</v>
      </c>
      <c r="AY26" s="19">
        <f t="shared" si="1"/>
        <v>0</v>
      </c>
      <c r="AZ26" s="19">
        <f t="shared" si="1"/>
        <v>31.8</v>
      </c>
      <c r="BA26" s="19">
        <f t="shared" si="1"/>
        <v>0</v>
      </c>
      <c r="BB26" s="19">
        <f t="shared" si="1"/>
        <v>0</v>
      </c>
      <c r="BC26" s="19">
        <f t="shared" si="1"/>
        <v>0</v>
      </c>
      <c r="BD26" s="19">
        <f t="shared" si="1"/>
        <v>0</v>
      </c>
      <c r="BE26" s="19">
        <f t="shared" si="1"/>
        <v>0</v>
      </c>
      <c r="BF26" s="19">
        <f t="shared" si="1"/>
        <v>0</v>
      </c>
      <c r="BG26" s="19">
        <f t="shared" si="1"/>
        <v>0</v>
      </c>
      <c r="BH26" s="19">
        <f t="shared" si="1"/>
        <v>0</v>
      </c>
      <c r="BI26" s="19">
        <f t="shared" si="1"/>
        <v>0</v>
      </c>
      <c r="BJ26" s="19">
        <f t="shared" si="1"/>
        <v>0</v>
      </c>
      <c r="BK26" s="19">
        <f t="shared" si="1"/>
        <v>0</v>
      </c>
      <c r="BL26" s="19">
        <f t="shared" si="1"/>
        <v>0</v>
      </c>
      <c r="BM26" s="19">
        <f t="shared" si="1"/>
        <v>0</v>
      </c>
      <c r="BN26" s="19">
        <f t="shared" si="1"/>
        <v>0</v>
      </c>
      <c r="BO26" s="19">
        <f t="shared" si="1"/>
        <v>0</v>
      </c>
      <c r="BP26" s="19">
        <f t="shared" si="1"/>
        <v>0</v>
      </c>
      <c r="BQ26" s="19">
        <f t="shared" si="1"/>
        <v>0</v>
      </c>
      <c r="BR26" s="19">
        <f t="shared" ref="BR26:CO26" si="2">SUM(BR6:BR21)</f>
        <v>0</v>
      </c>
      <c r="BS26" s="19">
        <f t="shared" si="2"/>
        <v>35</v>
      </c>
      <c r="BT26" s="19">
        <f t="shared" si="2"/>
        <v>0</v>
      </c>
      <c r="BU26" s="19">
        <f t="shared" si="2"/>
        <v>0</v>
      </c>
      <c r="BV26" s="19">
        <f t="shared" si="2"/>
        <v>0</v>
      </c>
      <c r="BW26" s="19">
        <f t="shared" si="2"/>
        <v>0</v>
      </c>
      <c r="BX26" s="19">
        <f t="shared" si="2"/>
        <v>0</v>
      </c>
      <c r="BY26" s="19">
        <f t="shared" si="2"/>
        <v>0</v>
      </c>
      <c r="BZ26" s="19">
        <f t="shared" si="2"/>
        <v>0</v>
      </c>
      <c r="CA26" s="19">
        <f t="shared" si="2"/>
        <v>0</v>
      </c>
      <c r="CB26" s="19">
        <f t="shared" si="2"/>
        <v>0</v>
      </c>
      <c r="CC26" s="19">
        <f t="shared" si="2"/>
        <v>0</v>
      </c>
      <c r="CD26" s="19">
        <f t="shared" si="2"/>
        <v>0</v>
      </c>
      <c r="CE26" s="19">
        <f t="shared" si="2"/>
        <v>0</v>
      </c>
      <c r="CF26" s="19">
        <f t="shared" si="2"/>
        <v>0</v>
      </c>
      <c r="CG26" s="19">
        <f t="shared" si="2"/>
        <v>0</v>
      </c>
      <c r="CH26" s="19">
        <f t="shared" si="2"/>
        <v>0</v>
      </c>
      <c r="CI26" s="19">
        <f t="shared" si="2"/>
        <v>0</v>
      </c>
      <c r="CJ26" s="19">
        <f t="shared" si="2"/>
        <v>0</v>
      </c>
      <c r="CK26" s="19">
        <f t="shared" si="2"/>
        <v>0</v>
      </c>
      <c r="CL26" s="19">
        <f t="shared" si="2"/>
        <v>0</v>
      </c>
      <c r="CM26" s="19">
        <f t="shared" si="2"/>
        <v>0</v>
      </c>
      <c r="CN26" s="19">
        <f t="shared" si="2"/>
        <v>0</v>
      </c>
      <c r="CO26" s="19">
        <f t="shared" si="2"/>
        <v>0</v>
      </c>
      <c r="CP26" s="13"/>
    </row>
    <row r="27" spans="1:94" ht="18.75" hidden="1" customHeight="1">
      <c r="A27" s="15"/>
      <c r="B27" s="16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3"/>
    </row>
    <row r="28" spans="1:94" ht="18.75" hidden="1" customHeight="1">
      <c r="A28" s="15"/>
      <c r="B28" s="16"/>
      <c r="C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3"/>
    </row>
    <row r="29" spans="1:94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3"/>
    </row>
    <row r="30" spans="1:94" ht="18.75" customHeight="1">
      <c r="A30" s="53" t="s">
        <v>101</v>
      </c>
      <c r="B30" s="54"/>
      <c r="C30" s="54"/>
      <c r="D30" s="55"/>
      <c r="E30" s="18"/>
      <c r="F30" s="20">
        <f t="shared" ref="F30:S30" si="3">+F26*$A$4/1000</f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4">
        <f>+T26*$A$4/55</f>
        <v>0</v>
      </c>
      <c r="U30" s="20">
        <f t="shared" ref="U30:AZ30" si="4">+U26*$A$4/1000</f>
        <v>0</v>
      </c>
      <c r="V30" s="20">
        <f t="shared" si="4"/>
        <v>0</v>
      </c>
      <c r="W30" s="20">
        <f t="shared" si="4"/>
        <v>0</v>
      </c>
      <c r="X30" s="20">
        <f t="shared" si="4"/>
        <v>0</v>
      </c>
      <c r="Y30" s="20">
        <f t="shared" si="4"/>
        <v>0</v>
      </c>
      <c r="Z30" s="20">
        <f t="shared" si="4"/>
        <v>0</v>
      </c>
      <c r="AA30" s="20">
        <f t="shared" si="4"/>
        <v>0</v>
      </c>
      <c r="AB30" s="20">
        <f t="shared" si="4"/>
        <v>0</v>
      </c>
      <c r="AC30" s="20">
        <f t="shared" si="4"/>
        <v>0</v>
      </c>
      <c r="AD30" s="20">
        <f t="shared" si="4"/>
        <v>0</v>
      </c>
      <c r="AE30" s="20">
        <f t="shared" si="4"/>
        <v>0</v>
      </c>
      <c r="AF30" s="20">
        <f t="shared" si="4"/>
        <v>0</v>
      </c>
      <c r="AG30" s="20">
        <f t="shared" si="4"/>
        <v>0</v>
      </c>
      <c r="AH30" s="20">
        <f t="shared" si="4"/>
        <v>0</v>
      </c>
      <c r="AI30" s="20">
        <f t="shared" si="4"/>
        <v>0</v>
      </c>
      <c r="AJ30" s="20">
        <f t="shared" si="4"/>
        <v>0</v>
      </c>
      <c r="AK30" s="20">
        <f t="shared" si="4"/>
        <v>0</v>
      </c>
      <c r="AL30" s="20">
        <f t="shared" si="4"/>
        <v>0</v>
      </c>
      <c r="AM30" s="20">
        <f t="shared" si="4"/>
        <v>0</v>
      </c>
      <c r="AN30" s="20">
        <f t="shared" si="4"/>
        <v>0</v>
      </c>
      <c r="AO30" s="20">
        <f t="shared" si="4"/>
        <v>0</v>
      </c>
      <c r="AP30" s="20">
        <f t="shared" si="4"/>
        <v>0</v>
      </c>
      <c r="AQ30" s="20">
        <f t="shared" si="4"/>
        <v>0</v>
      </c>
      <c r="AR30" s="20">
        <f t="shared" si="4"/>
        <v>0</v>
      </c>
      <c r="AS30" s="20">
        <f t="shared" si="4"/>
        <v>0</v>
      </c>
      <c r="AT30" s="20">
        <f t="shared" si="4"/>
        <v>0</v>
      </c>
      <c r="AU30" s="20">
        <f t="shared" si="4"/>
        <v>0</v>
      </c>
      <c r="AV30" s="20">
        <f t="shared" si="4"/>
        <v>0</v>
      </c>
      <c r="AW30" s="20">
        <f t="shared" si="4"/>
        <v>0</v>
      </c>
      <c r="AX30" s="20">
        <f t="shared" si="4"/>
        <v>0</v>
      </c>
      <c r="AY30" s="20">
        <f t="shared" si="4"/>
        <v>0</v>
      </c>
      <c r="AZ30" s="20">
        <f t="shared" si="4"/>
        <v>0</v>
      </c>
      <c r="BA30" s="20">
        <f t="shared" ref="BA30:CA30" si="5">+BA26*$A$4/1000</f>
        <v>0</v>
      </c>
      <c r="BB30" s="20">
        <f t="shared" si="5"/>
        <v>0</v>
      </c>
      <c r="BC30" s="20">
        <f t="shared" si="5"/>
        <v>0</v>
      </c>
      <c r="BD30" s="20">
        <f t="shared" si="5"/>
        <v>0</v>
      </c>
      <c r="BE30" s="20">
        <f t="shared" si="5"/>
        <v>0</v>
      </c>
      <c r="BF30" s="20">
        <f t="shared" si="5"/>
        <v>0</v>
      </c>
      <c r="BG30" s="20">
        <f t="shared" si="5"/>
        <v>0</v>
      </c>
      <c r="BH30" s="20">
        <f t="shared" si="5"/>
        <v>0</v>
      </c>
      <c r="BI30" s="20">
        <f t="shared" si="5"/>
        <v>0</v>
      </c>
      <c r="BJ30" s="20">
        <f t="shared" si="5"/>
        <v>0</v>
      </c>
      <c r="BK30" s="20">
        <f t="shared" si="5"/>
        <v>0</v>
      </c>
      <c r="BL30" s="20">
        <f t="shared" si="5"/>
        <v>0</v>
      </c>
      <c r="BM30" s="20">
        <f t="shared" si="5"/>
        <v>0</v>
      </c>
      <c r="BN30" s="20">
        <f t="shared" si="5"/>
        <v>0</v>
      </c>
      <c r="BO30" s="20">
        <f t="shared" si="5"/>
        <v>0</v>
      </c>
      <c r="BP30" s="20">
        <f t="shared" si="5"/>
        <v>0</v>
      </c>
      <c r="BQ30" s="20">
        <f t="shared" si="5"/>
        <v>0</v>
      </c>
      <c r="BR30" s="20">
        <f t="shared" si="5"/>
        <v>0</v>
      </c>
      <c r="BS30" s="20">
        <f t="shared" si="5"/>
        <v>0</v>
      </c>
      <c r="BT30" s="20">
        <f t="shared" si="5"/>
        <v>0</v>
      </c>
      <c r="BU30" s="20">
        <f t="shared" si="5"/>
        <v>0</v>
      </c>
      <c r="BV30" s="20">
        <f t="shared" si="5"/>
        <v>0</v>
      </c>
      <c r="BW30" s="20">
        <f t="shared" si="5"/>
        <v>0</v>
      </c>
      <c r="BX30" s="20">
        <f t="shared" si="5"/>
        <v>0</v>
      </c>
      <c r="BY30" s="20">
        <f t="shared" si="5"/>
        <v>0</v>
      </c>
      <c r="BZ30" s="20">
        <f t="shared" si="5"/>
        <v>0</v>
      </c>
      <c r="CA30" s="20">
        <f t="shared" si="5"/>
        <v>0</v>
      </c>
      <c r="CB30" s="20">
        <f>+CB26*$A$4/110</f>
        <v>0</v>
      </c>
      <c r="CC30" s="19">
        <f t="shared" ref="CC30:CO30" si="6">+CC26*$A$4/1000</f>
        <v>0</v>
      </c>
      <c r="CD30" s="19">
        <f t="shared" si="6"/>
        <v>0</v>
      </c>
      <c r="CE30" s="19">
        <f t="shared" si="6"/>
        <v>0</v>
      </c>
      <c r="CF30" s="19">
        <f t="shared" si="6"/>
        <v>0</v>
      </c>
      <c r="CG30" s="19">
        <f t="shared" si="6"/>
        <v>0</v>
      </c>
      <c r="CH30" s="19">
        <f t="shared" si="6"/>
        <v>0</v>
      </c>
      <c r="CI30" s="19">
        <f t="shared" si="6"/>
        <v>0</v>
      </c>
      <c r="CJ30" s="19">
        <f t="shared" si="6"/>
        <v>0</v>
      </c>
      <c r="CK30" s="19">
        <f t="shared" si="6"/>
        <v>0</v>
      </c>
      <c r="CL30" s="19">
        <f t="shared" si="6"/>
        <v>0</v>
      </c>
      <c r="CM30" s="19">
        <f t="shared" si="6"/>
        <v>0</v>
      </c>
      <c r="CN30" s="19">
        <f t="shared" si="6"/>
        <v>0</v>
      </c>
      <c r="CO30" s="19">
        <f t="shared" si="6"/>
        <v>0</v>
      </c>
      <c r="CP30" s="13"/>
    </row>
    <row r="31" spans="1:9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21"/>
    </row>
    <row r="32" spans="1:94">
      <c r="A32" s="22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 t="s">
        <v>103</v>
      </c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</row>
    <row r="33" spans="1:94">
      <c r="A33" s="22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</row>
  </sheetData>
  <autoFilter ref="A5:CP30" xr:uid="{00000000-0009-0000-0000-000004000000}"/>
  <mergeCells count="63">
    <mergeCell ref="B18:B20"/>
    <mergeCell ref="A6:A9"/>
    <mergeCell ref="A10:A17"/>
    <mergeCell ref="A18:A21"/>
    <mergeCell ref="A22:A25"/>
    <mergeCell ref="B23:C23"/>
    <mergeCell ref="A26:D26"/>
    <mergeCell ref="A30:D30"/>
    <mergeCell ref="F32:AE32"/>
    <mergeCell ref="AF32:CP32"/>
    <mergeCell ref="B14:C14"/>
    <mergeCell ref="D14:E14"/>
    <mergeCell ref="B15:C15"/>
    <mergeCell ref="D15:E15"/>
    <mergeCell ref="B16:C16"/>
    <mergeCell ref="D16:E16"/>
    <mergeCell ref="B17:C17"/>
    <mergeCell ref="D17:E17"/>
    <mergeCell ref="B21:C21"/>
    <mergeCell ref="D21:E21"/>
    <mergeCell ref="B22:C22"/>
    <mergeCell ref="D22:E22"/>
    <mergeCell ref="D23:E23"/>
    <mergeCell ref="B24:C24"/>
    <mergeCell ref="D24:E24"/>
    <mergeCell ref="B25:C25"/>
    <mergeCell ref="D25:E25"/>
    <mergeCell ref="D18:E20"/>
    <mergeCell ref="A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A1:B1"/>
    <mergeCell ref="F1:U1"/>
    <mergeCell ref="A4:B4"/>
    <mergeCell ref="D4:E4"/>
    <mergeCell ref="F4:K4"/>
    <mergeCell ref="L4:P4"/>
    <mergeCell ref="Q4:U4"/>
    <mergeCell ref="V4:BK4"/>
    <mergeCell ref="V1:CP1"/>
    <mergeCell ref="F2:U2"/>
    <mergeCell ref="V2:CP2"/>
    <mergeCell ref="A3:B3"/>
    <mergeCell ref="D3:E3"/>
    <mergeCell ref="F3:K3"/>
    <mergeCell ref="L3:P3"/>
    <mergeCell ref="Q3:U3"/>
    <mergeCell ref="V3:CP3"/>
  </mergeCells>
  <pageMargins left="0" right="0" top="0.98425196850393704" bottom="1.1811023622047201" header="0.31496062992126" footer="0.31496062992126"/>
  <pageSetup paperSize="9" scale="77" fitToHeight="2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">
    <pageSetUpPr fitToPage="1"/>
  </sheetPr>
  <dimension ref="A1:CP32"/>
  <sheetViews>
    <sheetView view="pageBreakPreview" zoomScale="85" zoomScaleNormal="80" workbookViewId="0">
      <pane xSplit="5" ySplit="5" topLeftCell="F6" activePane="bottomRight" state="frozen"/>
      <selection pane="topRight"/>
      <selection pane="bottomLeft"/>
      <selection pane="bottomRight" activeCell="V3" sqref="V3:CO3"/>
    </sheetView>
  </sheetViews>
  <sheetFormatPr defaultColWidth="9.140625" defaultRowHeight="11.25"/>
  <cols>
    <col min="1" max="1" width="10.140625" style="1" customWidth="1"/>
    <col min="2" max="2" width="11.7109375" style="1" customWidth="1"/>
    <col min="3" max="3" width="9.5703125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customWidth="1"/>
    <col min="8" max="8" width="6.85546875" style="1" customWidth="1"/>
    <col min="9" max="9" width="5.28515625" style="1" hidden="1" customWidth="1"/>
    <col min="10" max="10" width="5.28515625" style="1" customWidth="1"/>
    <col min="11" max="11" width="5.85546875" style="1" customWidth="1"/>
    <col min="12" max="12" width="5.7109375" style="1" customWidth="1"/>
    <col min="13" max="13" width="6" style="1" customWidth="1"/>
    <col min="14" max="14" width="5.140625" style="1" customWidth="1"/>
    <col min="15" max="16" width="5" style="1" customWidth="1"/>
    <col min="17" max="17" width="6" style="1" customWidth="1"/>
    <col min="18" max="19" width="5.5703125" style="1" customWidth="1"/>
    <col min="20" max="20" width="5.140625" style="1" customWidth="1"/>
    <col min="21" max="21" width="5.7109375" style="1" hidden="1" customWidth="1"/>
    <col min="22" max="22" width="4.85546875" style="1" hidden="1" customWidth="1"/>
    <col min="23" max="23" width="6" style="1" customWidth="1"/>
    <col min="24" max="24" width="5.28515625" style="1" customWidth="1"/>
    <col min="25" max="25" width="5.85546875" style="1" customWidth="1"/>
    <col min="26" max="26" width="5.5703125" style="1" customWidth="1"/>
    <col min="27" max="27" width="5" style="1" hidden="1" customWidth="1"/>
    <col min="28" max="28" width="5" style="1" customWidth="1"/>
    <col min="29" max="29" width="4.85546875" style="1" customWidth="1"/>
    <col min="30" max="31" width="4.85546875" style="1" hidden="1" customWidth="1"/>
    <col min="32" max="32" width="5.7109375" style="1" hidden="1" customWidth="1"/>
    <col min="33" max="33" width="5.28515625" style="1" hidden="1" customWidth="1"/>
    <col min="34" max="34" width="5.42578125" style="1" hidden="1" customWidth="1"/>
    <col min="35" max="36" width="5.28515625" style="1" customWidth="1"/>
    <col min="37" max="37" width="4.85546875" style="1" hidden="1" customWidth="1"/>
    <col min="38" max="38" width="5.85546875" style="1" customWidth="1"/>
    <col min="39" max="40" width="4.85546875" style="1" hidden="1" customWidth="1"/>
    <col min="41" max="41" width="4.7109375" style="1" hidden="1" customWidth="1"/>
    <col min="42" max="43" width="5.42578125" style="1" hidden="1" customWidth="1"/>
    <col min="44" max="44" width="6.140625" style="1" hidden="1" customWidth="1"/>
    <col min="45" max="46" width="4.85546875" style="1" customWidth="1"/>
    <col min="47" max="47" width="5.42578125" style="1" hidden="1" customWidth="1"/>
    <col min="48" max="48" width="5.140625" style="1" customWidth="1"/>
    <col min="49" max="49" width="5.28515625" style="1" customWidth="1"/>
    <col min="50" max="51" width="5.42578125" style="1" hidden="1" customWidth="1"/>
    <col min="52" max="53" width="5.7109375" style="1" customWidth="1"/>
    <col min="54" max="63" width="4.85546875" style="1" hidden="1" customWidth="1"/>
    <col min="64" max="64" width="5.85546875" style="1" hidden="1" customWidth="1"/>
    <col min="65" max="65" width="6" style="1" hidden="1" customWidth="1"/>
    <col min="66" max="66" width="4.85546875" style="1" hidden="1" customWidth="1"/>
    <col min="67" max="67" width="5.42578125" style="1" customWidth="1"/>
    <col min="68" max="68" width="4.85546875" style="1" hidden="1" customWidth="1"/>
    <col min="69" max="69" width="5.28515625" style="1" hidden="1" customWidth="1"/>
    <col min="70" max="70" width="6.140625" style="1" hidden="1" customWidth="1"/>
    <col min="71" max="71" width="4.85546875" style="1" hidden="1" customWidth="1"/>
    <col min="72" max="72" width="5.42578125" style="1" hidden="1" customWidth="1"/>
    <col min="73" max="73" width="4.85546875" style="1" hidden="1" customWidth="1"/>
    <col min="74" max="74" width="5" style="1" hidden="1" customWidth="1"/>
    <col min="75" max="75" width="4.85546875" style="1" customWidth="1"/>
    <col min="76" max="77" width="4.85546875" style="1" hidden="1" customWidth="1"/>
    <col min="78" max="78" width="5.42578125" style="1" hidden="1" customWidth="1"/>
    <col min="79" max="79" width="5.85546875" style="1" hidden="1" customWidth="1"/>
    <col min="80" max="81" width="5" style="1" hidden="1" customWidth="1"/>
    <col min="82" max="92" width="4.85546875" style="1" hidden="1" customWidth="1"/>
    <col min="93" max="93" width="10.28515625" style="1" customWidth="1"/>
    <col min="94" max="94" width="9" style="1" hidden="1" customWidth="1"/>
    <col min="95" max="16384" width="9.140625" style="1"/>
  </cols>
  <sheetData>
    <row r="1" spans="1:93" ht="15.75">
      <c r="A1" s="34">
        <v>46268</v>
      </c>
      <c r="B1" s="34"/>
      <c r="C1" s="2"/>
      <c r="E1" s="3"/>
      <c r="F1" s="35" t="str">
        <f>'1'!F1:U1</f>
        <v xml:space="preserve"> -МТТ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</row>
    <row r="2" spans="1:93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</row>
    <row r="3" spans="1:93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</row>
    <row r="4" spans="1:93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</row>
    <row r="5" spans="1:93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71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 t="s">
        <v>85</v>
      </c>
      <c r="CH5" s="7"/>
      <c r="CI5" s="7"/>
      <c r="CJ5" s="7"/>
      <c r="CK5" s="7"/>
      <c r="CL5" s="7"/>
      <c r="CM5" s="7"/>
      <c r="CN5" s="7"/>
      <c r="CO5" s="10" t="s">
        <v>87</v>
      </c>
    </row>
    <row r="6" spans="1:93" ht="24.75" customHeight="1">
      <c r="A6" s="47" t="s">
        <v>88</v>
      </c>
      <c r="B6" s="45" t="s">
        <v>116</v>
      </c>
      <c r="C6" s="46"/>
      <c r="D6" s="37">
        <v>130</v>
      </c>
      <c r="E6" s="38"/>
      <c r="F6" s="12"/>
      <c r="G6" s="12"/>
      <c r="H6" s="12"/>
      <c r="I6" s="12"/>
      <c r="J6" s="12"/>
      <c r="K6" s="12">
        <v>3.9</v>
      </c>
      <c r="L6" s="12"/>
      <c r="M6" s="12"/>
      <c r="N6" s="12"/>
      <c r="O6" s="12"/>
      <c r="P6" s="12">
        <v>0.6</v>
      </c>
      <c r="Q6" s="12">
        <v>3.9</v>
      </c>
      <c r="R6" s="12"/>
      <c r="S6" s="12"/>
      <c r="T6" s="12"/>
      <c r="U6" s="12"/>
      <c r="V6" s="12"/>
      <c r="W6" s="12">
        <v>130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>
        <v>16</v>
      </c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3">
        <f t="shared" ref="CO6:CO25" si="0">SUM(F6:CN6)</f>
        <v>154.4</v>
      </c>
    </row>
    <row r="7" spans="1:93" ht="24.75" customHeight="1">
      <c r="A7" s="48"/>
      <c r="B7" s="28" t="s">
        <v>117</v>
      </c>
      <c r="C7" s="29"/>
      <c r="D7" s="37">
        <v>65</v>
      </c>
      <c r="E7" s="38"/>
      <c r="F7" s="12"/>
      <c r="G7" s="12"/>
      <c r="H7" s="12"/>
      <c r="I7" s="12"/>
      <c r="J7" s="12">
        <v>1</v>
      </c>
      <c r="K7" s="12"/>
      <c r="L7" s="12"/>
      <c r="M7" s="12"/>
      <c r="N7" s="12"/>
      <c r="O7" s="12"/>
      <c r="P7" s="12">
        <v>0.2</v>
      </c>
      <c r="Q7" s="12">
        <v>5</v>
      </c>
      <c r="R7" s="12"/>
      <c r="S7" s="12"/>
      <c r="T7" s="12">
        <v>58</v>
      </c>
      <c r="U7" s="12"/>
      <c r="V7" s="12"/>
      <c r="W7" s="12">
        <v>12</v>
      </c>
      <c r="X7" s="12">
        <v>8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3">
        <f t="shared" si="0"/>
        <v>84.2</v>
      </c>
    </row>
    <row r="8" spans="1:93" ht="24.75" customHeight="1">
      <c r="A8" s="48"/>
      <c r="B8" s="28" t="s">
        <v>118</v>
      </c>
      <c r="C8" s="29"/>
      <c r="D8" s="37">
        <v>150</v>
      </c>
      <c r="E8" s="38"/>
      <c r="F8" s="12"/>
      <c r="G8" s="12">
        <v>0.2</v>
      </c>
      <c r="H8" s="12"/>
      <c r="I8" s="12"/>
      <c r="J8" s="12"/>
      <c r="K8" s="12">
        <v>6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>
        <v>100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3">
        <f t="shared" si="0"/>
        <v>106.2</v>
      </c>
    </row>
    <row r="9" spans="1:93" ht="24.75" customHeight="1">
      <c r="A9" s="49"/>
      <c r="B9" s="28" t="s">
        <v>94</v>
      </c>
      <c r="C9" s="29"/>
      <c r="D9" s="37">
        <v>40</v>
      </c>
      <c r="E9" s="38"/>
      <c r="F9" s="12">
        <v>40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3">
        <f t="shared" si="0"/>
        <v>40</v>
      </c>
    </row>
    <row r="10" spans="1:93" ht="24.75" customHeight="1">
      <c r="A10" s="47" t="s">
        <v>90</v>
      </c>
      <c r="B10" s="45" t="s">
        <v>119</v>
      </c>
      <c r="C10" s="46"/>
      <c r="D10" s="37" t="s">
        <v>110</v>
      </c>
      <c r="E10" s="38"/>
      <c r="F10" s="12"/>
      <c r="G10" s="12"/>
      <c r="H10" s="12">
        <v>27.2</v>
      </c>
      <c r="I10" s="12"/>
      <c r="J10" s="12">
        <v>3.6</v>
      </c>
      <c r="K10" s="12"/>
      <c r="L10" s="12">
        <v>15</v>
      </c>
      <c r="M10" s="12">
        <v>18.8</v>
      </c>
      <c r="N10" s="12">
        <v>7.5</v>
      </c>
      <c r="O10" s="12">
        <v>5.7</v>
      </c>
      <c r="P10" s="12">
        <v>0.3</v>
      </c>
      <c r="Q10" s="12"/>
      <c r="R10" s="12"/>
      <c r="S10" s="12"/>
      <c r="T10" s="12"/>
      <c r="U10" s="12"/>
      <c r="V10" s="12"/>
      <c r="W10" s="12"/>
      <c r="X10" s="12"/>
      <c r="Y10" s="12"/>
      <c r="Z10" s="12">
        <v>1.2</v>
      </c>
      <c r="AA10" s="12"/>
      <c r="AB10" s="12"/>
      <c r="AC10" s="12">
        <v>4</v>
      </c>
      <c r="AD10" s="12"/>
      <c r="AE10" s="12"/>
      <c r="AF10" s="12"/>
      <c r="AG10" s="12"/>
      <c r="AH10" s="12"/>
      <c r="AI10" s="12">
        <v>0.33</v>
      </c>
      <c r="AJ10" s="12">
        <v>5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>
        <v>1.8</v>
      </c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3">
        <f t="shared" si="0"/>
        <v>90.429999999999993</v>
      </c>
    </row>
    <row r="11" spans="1:93" ht="29.25" customHeight="1">
      <c r="A11" s="48"/>
      <c r="B11" s="61" t="s">
        <v>120</v>
      </c>
      <c r="C11" s="62"/>
      <c r="D11" s="52">
        <v>180</v>
      </c>
      <c r="E11" s="52"/>
      <c r="F11" s="12"/>
      <c r="G11" s="12"/>
      <c r="H11" s="12">
        <v>48.9</v>
      </c>
      <c r="I11" s="12"/>
      <c r="J11" s="12">
        <v>6</v>
      </c>
      <c r="K11" s="12"/>
      <c r="L11" s="12"/>
      <c r="M11" s="12">
        <v>60</v>
      </c>
      <c r="N11" s="12">
        <v>30</v>
      </c>
      <c r="O11" s="12">
        <v>28.6</v>
      </c>
      <c r="P11" s="12">
        <v>1</v>
      </c>
      <c r="Q11" s="12">
        <v>1</v>
      </c>
      <c r="R11" s="12"/>
      <c r="S11" s="12">
        <v>14.1</v>
      </c>
      <c r="T11" s="12"/>
      <c r="U11" s="12"/>
      <c r="V11" s="12"/>
      <c r="W11" s="12"/>
      <c r="X11" s="12"/>
      <c r="Y11" s="12"/>
      <c r="Z11" s="12">
        <v>2</v>
      </c>
      <c r="AA11" s="12"/>
      <c r="AB11" s="12"/>
      <c r="AC11" s="12">
        <v>32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>
        <v>24</v>
      </c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3">
        <f t="shared" si="0"/>
        <v>247.6</v>
      </c>
    </row>
    <row r="12" spans="1:93" ht="30" customHeight="1">
      <c r="A12" s="48"/>
      <c r="B12" s="45" t="s">
        <v>121</v>
      </c>
      <c r="C12" s="67"/>
      <c r="D12" s="52">
        <v>45</v>
      </c>
      <c r="E12" s="52"/>
      <c r="F12" s="11"/>
      <c r="G12" s="12"/>
      <c r="H12" s="12"/>
      <c r="I12" s="12"/>
      <c r="J12" s="12">
        <v>1</v>
      </c>
      <c r="K12" s="12">
        <v>1</v>
      </c>
      <c r="L12" s="12"/>
      <c r="M12" s="12"/>
      <c r="N12" s="12"/>
      <c r="O12" s="12"/>
      <c r="P12" s="12">
        <v>0.4</v>
      </c>
      <c r="Q12" s="12"/>
      <c r="R12" s="12">
        <v>12.5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>
        <v>40</v>
      </c>
      <c r="AW12" s="12"/>
      <c r="AX12" s="12"/>
      <c r="AY12" s="12"/>
      <c r="AZ12" s="12"/>
      <c r="BA12" s="12">
        <v>1.7</v>
      </c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3">
        <f t="shared" si="0"/>
        <v>56.6</v>
      </c>
    </row>
    <row r="13" spans="1:93" ht="30" customHeight="1">
      <c r="A13" s="48"/>
      <c r="B13" s="45" t="s">
        <v>7</v>
      </c>
      <c r="C13" s="67"/>
      <c r="D13" s="52">
        <v>150</v>
      </c>
      <c r="E13" s="52"/>
      <c r="F13" s="11"/>
      <c r="G13" s="12">
        <v>0.2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3">
        <f t="shared" si="0"/>
        <v>0.2</v>
      </c>
    </row>
    <row r="14" spans="1:93" ht="26.25" customHeight="1">
      <c r="A14" s="48"/>
      <c r="B14" s="28" t="s">
        <v>94</v>
      </c>
      <c r="C14" s="29"/>
      <c r="D14" s="52">
        <v>60</v>
      </c>
      <c r="E14" s="52"/>
      <c r="F14" s="12">
        <v>60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3">
        <f t="shared" si="0"/>
        <v>60</v>
      </c>
    </row>
    <row r="15" spans="1:93" ht="24.75" hidden="1" customHeight="1">
      <c r="A15" s="48"/>
      <c r="B15" s="28"/>
      <c r="C15" s="29"/>
      <c r="D15" s="37"/>
      <c r="E15" s="38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3">
        <f t="shared" si="0"/>
        <v>0</v>
      </c>
    </row>
    <row r="16" spans="1:93" ht="24.75" hidden="1" customHeight="1">
      <c r="A16" s="48"/>
      <c r="B16" s="28"/>
      <c r="C16" s="29"/>
      <c r="D16" s="37"/>
      <c r="E16" s="3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3">
        <f t="shared" si="0"/>
        <v>0</v>
      </c>
    </row>
    <row r="17" spans="1:94" ht="24.75" hidden="1" customHeight="1">
      <c r="A17" s="49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3">
        <f t="shared" si="0"/>
        <v>0</v>
      </c>
    </row>
    <row r="18" spans="1:94" ht="28.5" customHeight="1">
      <c r="A18" s="57" t="s">
        <v>95</v>
      </c>
      <c r="B18" s="41" t="s">
        <v>122</v>
      </c>
      <c r="C18" s="41"/>
      <c r="D18" s="52" t="s">
        <v>123</v>
      </c>
      <c r="E18" s="52"/>
      <c r="F18" s="12"/>
      <c r="G18" s="12"/>
      <c r="H18" s="12"/>
      <c r="I18" s="12"/>
      <c r="J18" s="12">
        <v>0.2</v>
      </c>
      <c r="K18" s="12">
        <v>7.8</v>
      </c>
      <c r="L18" s="12"/>
      <c r="N18" s="12"/>
      <c r="O18" s="12"/>
      <c r="P18" s="12">
        <v>0.8</v>
      </c>
      <c r="Q18" s="12">
        <v>2.6</v>
      </c>
      <c r="R18" s="12"/>
      <c r="S18" s="12"/>
      <c r="T18" s="12">
        <v>9</v>
      </c>
      <c r="U18" s="12"/>
      <c r="V18" s="12"/>
      <c r="W18" s="12">
        <v>15.6</v>
      </c>
      <c r="X18" s="12"/>
      <c r="Y18" s="12">
        <v>25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>
        <v>1</v>
      </c>
      <c r="AT18" s="12"/>
      <c r="AU18" s="12"/>
      <c r="AV18" s="12"/>
      <c r="AW18" s="12"/>
      <c r="AX18" s="12"/>
      <c r="AY18" s="12"/>
      <c r="AZ18" s="12">
        <v>33.799999999999997</v>
      </c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>
        <v>0.7</v>
      </c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3">
        <f t="shared" si="0"/>
        <v>96.5</v>
      </c>
    </row>
    <row r="19" spans="1:94" ht="24.75" customHeight="1">
      <c r="A19" s="58"/>
      <c r="B19" s="41" t="s">
        <v>124</v>
      </c>
      <c r="C19" s="41"/>
      <c r="D19" s="52">
        <v>150</v>
      </c>
      <c r="E19" s="5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>
        <v>185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3">
        <f t="shared" si="0"/>
        <v>185</v>
      </c>
    </row>
    <row r="20" spans="1:94" ht="24.75" customHeight="1">
      <c r="A20" s="58"/>
      <c r="B20" s="50" t="s">
        <v>125</v>
      </c>
      <c r="C20" s="51"/>
      <c r="D20" s="37">
        <v>150</v>
      </c>
      <c r="E20" s="38"/>
      <c r="F20" s="12"/>
      <c r="G20" s="12">
        <v>0.2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>
        <v>11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3">
        <f t="shared" si="0"/>
        <v>11.2</v>
      </c>
    </row>
    <row r="21" spans="1:94" ht="24" hidden="1" customHeight="1">
      <c r="A21" s="59"/>
      <c r="B21" s="45"/>
      <c r="C21" s="46"/>
      <c r="D21" s="37"/>
      <c r="E21" s="3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3">
        <f t="shared" si="0"/>
        <v>0</v>
      </c>
    </row>
    <row r="22" spans="1:94" ht="24.75" hidden="1" customHeight="1">
      <c r="A22" s="60"/>
      <c r="B22" s="28"/>
      <c r="C22" s="29"/>
      <c r="D22" s="52"/>
      <c r="E22" s="5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3">
        <f t="shared" si="0"/>
        <v>0</v>
      </c>
    </row>
    <row r="23" spans="1:94" ht="24.75" hidden="1" customHeight="1">
      <c r="A23" s="60"/>
      <c r="B23" s="28"/>
      <c r="C23" s="29"/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3">
        <f t="shared" si="0"/>
        <v>0</v>
      </c>
    </row>
    <row r="24" spans="1:94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3">
        <f t="shared" si="0"/>
        <v>0</v>
      </c>
    </row>
    <row r="25" spans="1:94" ht="0.75" customHeight="1">
      <c r="A25" s="60"/>
      <c r="B25" s="33"/>
      <c r="C25" s="33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3">
        <f t="shared" si="0"/>
        <v>0</v>
      </c>
    </row>
    <row r="26" spans="1:94" ht="18.75" customHeight="1">
      <c r="A26" s="53" t="s">
        <v>100</v>
      </c>
      <c r="B26" s="54"/>
      <c r="C26" s="54"/>
      <c r="D26" s="55"/>
      <c r="E26" s="18"/>
      <c r="F26" s="19">
        <f t="shared" ref="F26:BQ26" si="1">SUM(F6:F21)</f>
        <v>100</v>
      </c>
      <c r="G26" s="19">
        <f t="shared" si="1"/>
        <v>0.60000000000000009</v>
      </c>
      <c r="H26" s="19">
        <f t="shared" si="1"/>
        <v>76.099999999999994</v>
      </c>
      <c r="I26" s="19">
        <f t="shared" si="1"/>
        <v>0</v>
      </c>
      <c r="J26" s="19">
        <f t="shared" si="1"/>
        <v>11.799999999999999</v>
      </c>
      <c r="K26" s="19">
        <f t="shared" si="1"/>
        <v>18.7</v>
      </c>
      <c r="L26" s="19">
        <f t="shared" si="1"/>
        <v>15</v>
      </c>
      <c r="M26" s="19">
        <f t="shared" si="1"/>
        <v>78.8</v>
      </c>
      <c r="N26" s="19">
        <f t="shared" si="1"/>
        <v>37.5</v>
      </c>
      <c r="O26" s="19">
        <f t="shared" si="1"/>
        <v>34.300000000000004</v>
      </c>
      <c r="P26" s="19">
        <f t="shared" si="1"/>
        <v>3.3</v>
      </c>
      <c r="Q26" s="19">
        <f t="shared" si="1"/>
        <v>12.5</v>
      </c>
      <c r="R26" s="19">
        <f t="shared" si="1"/>
        <v>12.5</v>
      </c>
      <c r="S26" s="19">
        <f t="shared" si="1"/>
        <v>14.1</v>
      </c>
      <c r="T26" s="19">
        <f t="shared" si="1"/>
        <v>67</v>
      </c>
      <c r="U26" s="19">
        <f t="shared" si="1"/>
        <v>0</v>
      </c>
      <c r="V26" s="19">
        <f t="shared" si="1"/>
        <v>0</v>
      </c>
      <c r="W26" s="19">
        <f t="shared" si="1"/>
        <v>257.60000000000002</v>
      </c>
      <c r="X26" s="19">
        <f t="shared" si="1"/>
        <v>8</v>
      </c>
      <c r="Y26" s="19">
        <f t="shared" si="1"/>
        <v>25</v>
      </c>
      <c r="Z26" s="19">
        <f t="shared" si="1"/>
        <v>3.2</v>
      </c>
      <c r="AA26" s="19">
        <f t="shared" si="1"/>
        <v>0</v>
      </c>
      <c r="AB26" s="19">
        <f t="shared" si="1"/>
        <v>185</v>
      </c>
      <c r="AC26" s="19">
        <f t="shared" si="1"/>
        <v>36</v>
      </c>
      <c r="AD26" s="19">
        <f t="shared" si="1"/>
        <v>0</v>
      </c>
      <c r="AE26" s="19">
        <f t="shared" si="1"/>
        <v>0</v>
      </c>
      <c r="AF26" s="19">
        <f t="shared" si="1"/>
        <v>0</v>
      </c>
      <c r="AG26" s="19">
        <f t="shared" si="1"/>
        <v>0</v>
      </c>
      <c r="AH26" s="19">
        <f t="shared" si="1"/>
        <v>0</v>
      </c>
      <c r="AI26" s="19">
        <f t="shared" si="1"/>
        <v>0.33</v>
      </c>
      <c r="AJ26" s="19">
        <f t="shared" si="1"/>
        <v>5</v>
      </c>
      <c r="AK26" s="19">
        <f t="shared" si="1"/>
        <v>0</v>
      </c>
      <c r="AL26" s="19">
        <f t="shared" si="1"/>
        <v>11</v>
      </c>
      <c r="AM26" s="19">
        <f t="shared" si="1"/>
        <v>0</v>
      </c>
      <c r="AN26" s="19">
        <f t="shared" si="1"/>
        <v>0</v>
      </c>
      <c r="AO26" s="19">
        <f t="shared" si="1"/>
        <v>0</v>
      </c>
      <c r="AP26" s="19">
        <f t="shared" si="1"/>
        <v>0</v>
      </c>
      <c r="AQ26" s="19">
        <f t="shared" si="1"/>
        <v>0</v>
      </c>
      <c r="AR26" s="19">
        <f t="shared" si="1"/>
        <v>0</v>
      </c>
      <c r="AS26" s="19">
        <f t="shared" si="1"/>
        <v>1</v>
      </c>
      <c r="AT26" s="19">
        <f t="shared" si="1"/>
        <v>1.8</v>
      </c>
      <c r="AU26" s="19">
        <f t="shared" si="1"/>
        <v>0</v>
      </c>
      <c r="AV26" s="19">
        <f t="shared" si="1"/>
        <v>40</v>
      </c>
      <c r="AW26" s="19">
        <f t="shared" si="1"/>
        <v>16</v>
      </c>
      <c r="AX26" s="19">
        <f t="shared" si="1"/>
        <v>0</v>
      </c>
      <c r="AY26" s="19">
        <f t="shared" si="1"/>
        <v>0</v>
      </c>
      <c r="AZ26" s="19">
        <f t="shared" si="1"/>
        <v>33.799999999999997</v>
      </c>
      <c r="BA26" s="19">
        <f t="shared" si="1"/>
        <v>1.7</v>
      </c>
      <c r="BB26" s="19">
        <f t="shared" si="1"/>
        <v>0</v>
      </c>
      <c r="BC26" s="19">
        <f t="shared" si="1"/>
        <v>0</v>
      </c>
      <c r="BD26" s="19">
        <f t="shared" si="1"/>
        <v>0</v>
      </c>
      <c r="BE26" s="19">
        <f t="shared" si="1"/>
        <v>0</v>
      </c>
      <c r="BF26" s="19">
        <f t="shared" si="1"/>
        <v>0</v>
      </c>
      <c r="BG26" s="19">
        <f t="shared" si="1"/>
        <v>0</v>
      </c>
      <c r="BH26" s="19">
        <f t="shared" si="1"/>
        <v>0</v>
      </c>
      <c r="BI26" s="19">
        <f t="shared" si="1"/>
        <v>0</v>
      </c>
      <c r="BJ26" s="19">
        <f t="shared" si="1"/>
        <v>0</v>
      </c>
      <c r="BK26" s="19">
        <f t="shared" si="1"/>
        <v>0</v>
      </c>
      <c r="BL26" s="19">
        <f t="shared" si="1"/>
        <v>0</v>
      </c>
      <c r="BM26" s="19">
        <f t="shared" si="1"/>
        <v>0</v>
      </c>
      <c r="BN26" s="19">
        <f t="shared" si="1"/>
        <v>0</v>
      </c>
      <c r="BO26" s="19">
        <f t="shared" si="1"/>
        <v>0.7</v>
      </c>
      <c r="BP26" s="19">
        <f t="shared" si="1"/>
        <v>0</v>
      </c>
      <c r="BQ26" s="19">
        <f t="shared" si="1"/>
        <v>0</v>
      </c>
      <c r="BR26" s="19">
        <f t="shared" ref="BR26:CN26" si="2">SUM(BR6:BR21)</f>
        <v>0</v>
      </c>
      <c r="BS26" s="19">
        <f t="shared" si="2"/>
        <v>0</v>
      </c>
      <c r="BT26" s="19">
        <f t="shared" si="2"/>
        <v>0</v>
      </c>
      <c r="BU26" s="19">
        <f t="shared" si="2"/>
        <v>0</v>
      </c>
      <c r="BV26" s="19">
        <f t="shared" si="2"/>
        <v>0</v>
      </c>
      <c r="BW26" s="19">
        <f t="shared" si="2"/>
        <v>24</v>
      </c>
      <c r="BX26" s="19">
        <f t="shared" si="2"/>
        <v>0</v>
      </c>
      <c r="BY26" s="19">
        <f t="shared" si="2"/>
        <v>0</v>
      </c>
      <c r="BZ26" s="19">
        <f t="shared" si="2"/>
        <v>0</v>
      </c>
      <c r="CA26" s="19">
        <f t="shared" si="2"/>
        <v>0</v>
      </c>
      <c r="CB26" s="19">
        <f t="shared" si="2"/>
        <v>0</v>
      </c>
      <c r="CC26" s="19">
        <f t="shared" si="2"/>
        <v>0</v>
      </c>
      <c r="CD26" s="19">
        <f t="shared" si="2"/>
        <v>0</v>
      </c>
      <c r="CE26" s="19">
        <f t="shared" si="2"/>
        <v>0</v>
      </c>
      <c r="CF26" s="19">
        <f t="shared" si="2"/>
        <v>0</v>
      </c>
      <c r="CG26" s="19">
        <f t="shared" si="2"/>
        <v>0</v>
      </c>
      <c r="CH26" s="19">
        <f t="shared" si="2"/>
        <v>0</v>
      </c>
      <c r="CI26" s="19">
        <f t="shared" si="2"/>
        <v>0</v>
      </c>
      <c r="CJ26" s="19">
        <f t="shared" si="2"/>
        <v>0</v>
      </c>
      <c r="CK26" s="19">
        <f t="shared" si="2"/>
        <v>0</v>
      </c>
      <c r="CL26" s="19">
        <f t="shared" si="2"/>
        <v>0</v>
      </c>
      <c r="CM26" s="19">
        <f t="shared" si="2"/>
        <v>0</v>
      </c>
      <c r="CN26" s="19">
        <f t="shared" si="2"/>
        <v>0</v>
      </c>
      <c r="CO26" s="13"/>
    </row>
    <row r="27" spans="1:94" ht="18.75" hidden="1" customHeight="1">
      <c r="A27" s="15"/>
      <c r="B27" s="16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3"/>
    </row>
    <row r="28" spans="1:94" ht="18.75" hidden="1" customHeight="1">
      <c r="A28" s="15"/>
      <c r="B28" s="16"/>
      <c r="C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3"/>
    </row>
    <row r="29" spans="1:94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3"/>
    </row>
    <row r="30" spans="1:94" ht="18.75" customHeight="1">
      <c r="A30" s="53" t="s">
        <v>101</v>
      </c>
      <c r="B30" s="54"/>
      <c r="C30" s="54"/>
      <c r="D30" s="55"/>
      <c r="E30" s="18"/>
      <c r="F30" s="20">
        <f>+F26*$A$4/1000</f>
        <v>0</v>
      </c>
      <c r="G30" s="20">
        <f t="shared" ref="G30:BR30" si="3">+G26*$A$4/1000</f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4">
        <f>+T26*$A$4/55</f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0</v>
      </c>
      <c r="AD30" s="20">
        <f t="shared" si="3"/>
        <v>0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20">
        <f t="shared" si="3"/>
        <v>0</v>
      </c>
      <c r="AO30" s="20">
        <f t="shared" si="3"/>
        <v>0</v>
      </c>
      <c r="AP30" s="20">
        <f t="shared" si="3"/>
        <v>0</v>
      </c>
      <c r="AQ30" s="20">
        <f t="shared" si="3"/>
        <v>0</v>
      </c>
      <c r="AR30" s="20">
        <f t="shared" si="3"/>
        <v>0</v>
      </c>
      <c r="AS30" s="20">
        <f t="shared" si="3"/>
        <v>0</v>
      </c>
      <c r="AT30" s="20">
        <f t="shared" si="3"/>
        <v>0</v>
      </c>
      <c r="AU30" s="20">
        <f t="shared" si="3"/>
        <v>0</v>
      </c>
      <c r="AV30" s="20">
        <f t="shared" si="3"/>
        <v>0</v>
      </c>
      <c r="AW30" s="20">
        <f t="shared" si="3"/>
        <v>0</v>
      </c>
      <c r="AX30" s="20">
        <f t="shared" si="3"/>
        <v>0</v>
      </c>
      <c r="AY30" s="20">
        <f t="shared" si="3"/>
        <v>0</v>
      </c>
      <c r="AZ30" s="20">
        <f t="shared" si="3"/>
        <v>0</v>
      </c>
      <c r="BA30" s="20">
        <f t="shared" si="3"/>
        <v>0</v>
      </c>
      <c r="BB30" s="20">
        <f t="shared" si="3"/>
        <v>0</v>
      </c>
      <c r="BC30" s="20">
        <f t="shared" si="3"/>
        <v>0</v>
      </c>
      <c r="BD30" s="20">
        <f t="shared" si="3"/>
        <v>0</v>
      </c>
      <c r="BE30" s="20">
        <f t="shared" si="3"/>
        <v>0</v>
      </c>
      <c r="BF30" s="20">
        <f t="shared" si="3"/>
        <v>0</v>
      </c>
      <c r="BG30" s="20">
        <f t="shared" si="3"/>
        <v>0</v>
      </c>
      <c r="BH30" s="20">
        <f t="shared" si="3"/>
        <v>0</v>
      </c>
      <c r="BI30" s="20">
        <f t="shared" si="3"/>
        <v>0</v>
      </c>
      <c r="BJ30" s="20">
        <f t="shared" si="3"/>
        <v>0</v>
      </c>
      <c r="BK30" s="20">
        <f t="shared" si="3"/>
        <v>0</v>
      </c>
      <c r="BL30" s="20">
        <f t="shared" si="3"/>
        <v>0</v>
      </c>
      <c r="BM30" s="20">
        <f t="shared" si="3"/>
        <v>0</v>
      </c>
      <c r="BN30" s="20">
        <f t="shared" si="3"/>
        <v>0</v>
      </c>
      <c r="BO30" s="20">
        <f t="shared" si="3"/>
        <v>0</v>
      </c>
      <c r="BP30" s="20">
        <f t="shared" si="3"/>
        <v>0</v>
      </c>
      <c r="BQ30" s="20">
        <f t="shared" si="3"/>
        <v>0</v>
      </c>
      <c r="BR30" s="20">
        <f t="shared" si="3"/>
        <v>0</v>
      </c>
      <c r="BS30" s="20">
        <f t="shared" ref="BS30:CN30" si="4">+BS26*$A$4/1000</f>
        <v>0</v>
      </c>
      <c r="BT30" s="20">
        <f t="shared" si="4"/>
        <v>0</v>
      </c>
      <c r="BU30" s="20">
        <f t="shared" si="4"/>
        <v>0</v>
      </c>
      <c r="BV30" s="20">
        <f t="shared" si="4"/>
        <v>0</v>
      </c>
      <c r="BW30" s="20">
        <f t="shared" si="4"/>
        <v>0</v>
      </c>
      <c r="BX30" s="20">
        <f t="shared" si="4"/>
        <v>0</v>
      </c>
      <c r="BY30" s="20">
        <f t="shared" si="4"/>
        <v>0</v>
      </c>
      <c r="BZ30" s="20">
        <f t="shared" si="4"/>
        <v>0</v>
      </c>
      <c r="CA30" s="20">
        <f t="shared" si="4"/>
        <v>0</v>
      </c>
      <c r="CB30" s="20">
        <f t="shared" si="4"/>
        <v>0</v>
      </c>
      <c r="CC30" s="20">
        <f t="shared" si="4"/>
        <v>0</v>
      </c>
      <c r="CD30" s="20">
        <f t="shared" si="4"/>
        <v>0</v>
      </c>
      <c r="CE30" s="20">
        <f t="shared" si="4"/>
        <v>0</v>
      </c>
      <c r="CF30" s="20">
        <f t="shared" si="4"/>
        <v>0</v>
      </c>
      <c r="CG30" s="20">
        <f t="shared" si="4"/>
        <v>0</v>
      </c>
      <c r="CH30" s="20">
        <f t="shared" si="4"/>
        <v>0</v>
      </c>
      <c r="CI30" s="20">
        <f t="shared" si="4"/>
        <v>0</v>
      </c>
      <c r="CJ30" s="20">
        <f t="shared" si="4"/>
        <v>0</v>
      </c>
      <c r="CK30" s="20">
        <f t="shared" si="4"/>
        <v>0</v>
      </c>
      <c r="CL30" s="20">
        <f t="shared" si="4"/>
        <v>0</v>
      </c>
      <c r="CM30" s="20">
        <f t="shared" si="4"/>
        <v>0</v>
      </c>
      <c r="CN30" s="20">
        <f t="shared" si="4"/>
        <v>0</v>
      </c>
      <c r="CO30" s="20"/>
    </row>
    <row r="31" spans="1:9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21"/>
    </row>
    <row r="32" spans="1:94">
      <c r="A32" s="22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 t="s">
        <v>103</v>
      </c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</row>
  </sheetData>
  <autoFilter ref="A5:CO30" xr:uid="{00000000-0009-0000-0000-000005000000}"/>
  <mergeCells count="67">
    <mergeCell ref="A10:A17"/>
    <mergeCell ref="A18:A21"/>
    <mergeCell ref="A22:A25"/>
    <mergeCell ref="B23:C23"/>
    <mergeCell ref="B20:C20"/>
    <mergeCell ref="B11:C11"/>
    <mergeCell ref="B10:C10"/>
    <mergeCell ref="D23:E23"/>
    <mergeCell ref="B24:C24"/>
    <mergeCell ref="D24:E24"/>
    <mergeCell ref="B25:C25"/>
    <mergeCell ref="D25:E25"/>
    <mergeCell ref="A26:D26"/>
    <mergeCell ref="A30:D30"/>
    <mergeCell ref="F32:AE32"/>
    <mergeCell ref="AF32:CP32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D20:E20"/>
    <mergeCell ref="B21:C21"/>
    <mergeCell ref="D21:E21"/>
    <mergeCell ref="B22:C22"/>
    <mergeCell ref="D22:E22"/>
    <mergeCell ref="A5:C5"/>
    <mergeCell ref="D5:E5"/>
    <mergeCell ref="B6:C6"/>
    <mergeCell ref="D6:E6"/>
    <mergeCell ref="B7:C7"/>
    <mergeCell ref="D7:E7"/>
    <mergeCell ref="A6:A9"/>
    <mergeCell ref="B8:C8"/>
    <mergeCell ref="D8:E8"/>
    <mergeCell ref="B9:C9"/>
    <mergeCell ref="D9:E9"/>
    <mergeCell ref="D10:E10"/>
    <mergeCell ref="D11:E11"/>
    <mergeCell ref="B12:C12"/>
    <mergeCell ref="D12:E12"/>
    <mergeCell ref="B13:C13"/>
    <mergeCell ref="D13:E13"/>
    <mergeCell ref="A1:B1"/>
    <mergeCell ref="F1:U1"/>
    <mergeCell ref="V1:CO1"/>
    <mergeCell ref="F2:U2"/>
    <mergeCell ref="V2:CO2"/>
    <mergeCell ref="V3:CO3"/>
    <mergeCell ref="A4:B4"/>
    <mergeCell ref="D4:E4"/>
    <mergeCell ref="F4:K4"/>
    <mergeCell ref="L4:P4"/>
    <mergeCell ref="Q4:U4"/>
    <mergeCell ref="V4:BK4"/>
    <mergeCell ref="A3:B3"/>
    <mergeCell ref="D3:E3"/>
    <mergeCell ref="F3:K3"/>
    <mergeCell ref="L3:P3"/>
    <mergeCell ref="Q3:U3"/>
  </mergeCells>
  <pageMargins left="0" right="0" top="1.37795275590551" bottom="1.9685039370078701" header="0.31496062992126" footer="0.31496062992126"/>
  <pageSetup paperSize="9" scale="65" fitToHeight="2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">
    <pageSetUpPr fitToPage="1"/>
  </sheetPr>
  <dimension ref="A1:CP32"/>
  <sheetViews>
    <sheetView view="pageBreakPreview" zoomScaleNormal="84" workbookViewId="0">
      <pane ySplit="2" topLeftCell="A3" activePane="bottomLeft" state="frozen"/>
      <selection pane="bottomLeft" activeCell="V3" sqref="V3:CO3"/>
    </sheetView>
  </sheetViews>
  <sheetFormatPr defaultColWidth="9.140625" defaultRowHeight="11.25"/>
  <cols>
    <col min="1" max="1" width="10.140625" style="1" customWidth="1"/>
    <col min="2" max="2" width="11.7109375" style="1" customWidth="1"/>
    <col min="3" max="3" width="9.5703125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customWidth="1"/>
    <col min="8" max="8" width="6.85546875" style="1" customWidth="1"/>
    <col min="9" max="10" width="5.28515625" style="1" customWidth="1"/>
    <col min="11" max="11" width="5.85546875" style="1" customWidth="1"/>
    <col min="12" max="12" width="5.7109375" style="1" hidden="1" customWidth="1"/>
    <col min="13" max="13" width="6" style="1" customWidth="1"/>
    <col min="14" max="14" width="5.140625" style="1" customWidth="1"/>
    <col min="15" max="15" width="5.7109375" style="1" customWidth="1"/>
    <col min="16" max="16" width="4.7109375" style="1" customWidth="1"/>
    <col min="17" max="17" width="6" style="1" customWidth="1"/>
    <col min="18" max="19" width="5.5703125" style="1" customWidth="1"/>
    <col min="20" max="20" width="5.140625" style="1" hidden="1" customWidth="1"/>
    <col min="21" max="21" width="5.7109375" style="1" hidden="1" customWidth="1"/>
    <col min="22" max="22" width="4.85546875" style="1" hidden="1" customWidth="1"/>
    <col min="23" max="23" width="6" style="1" customWidth="1"/>
    <col min="24" max="24" width="5.28515625" style="1" hidden="1" customWidth="1"/>
    <col min="25" max="25" width="5.85546875" style="1" hidden="1" customWidth="1"/>
    <col min="26" max="26" width="5.5703125" style="1" customWidth="1"/>
    <col min="27" max="27" width="6.42578125" style="1" hidden="1" customWidth="1"/>
    <col min="28" max="28" width="5" style="1" customWidth="1"/>
    <col min="29" max="29" width="4.85546875" style="1" hidden="1" customWidth="1"/>
    <col min="30" max="30" width="4.85546875" style="1" customWidth="1"/>
    <col min="31" max="31" width="4.85546875" style="1" hidden="1" customWidth="1"/>
    <col min="32" max="32" width="5.7109375" style="1" hidden="1" customWidth="1"/>
    <col min="33" max="33" width="5.28515625" style="1" hidden="1" customWidth="1"/>
    <col min="34" max="34" width="5.42578125" style="1" customWidth="1"/>
    <col min="35" max="35" width="5.28515625" style="1" hidden="1" customWidth="1"/>
    <col min="36" max="36" width="5.28515625" style="1" customWidth="1"/>
    <col min="37" max="37" width="4.85546875" style="1" hidden="1" customWidth="1"/>
    <col min="38" max="38" width="5.85546875" style="1" hidden="1" customWidth="1"/>
    <col min="39" max="40" width="4.85546875" style="1" hidden="1" customWidth="1"/>
    <col min="41" max="41" width="4.7109375" style="1" hidden="1" customWidth="1"/>
    <col min="42" max="43" width="5.42578125" style="1" hidden="1" customWidth="1"/>
    <col min="44" max="44" width="6.140625" style="1" customWidth="1"/>
    <col min="45" max="45" width="4.85546875" style="1" hidden="1" customWidth="1"/>
    <col min="46" max="46" width="4.85546875" style="1" customWidth="1"/>
    <col min="47" max="47" width="5.42578125" style="1" customWidth="1"/>
    <col min="48" max="48" width="5.140625" style="1" customWidth="1"/>
    <col min="49" max="49" width="5.28515625" style="1" hidden="1" customWidth="1"/>
    <col min="50" max="51" width="5.42578125" style="1" hidden="1" customWidth="1"/>
    <col min="52" max="52" width="5.7109375" style="1" customWidth="1"/>
    <col min="53" max="53" width="5.7109375" style="1" hidden="1" customWidth="1"/>
    <col min="54" max="63" width="4.85546875" style="1" hidden="1" customWidth="1"/>
    <col min="64" max="64" width="5.85546875" style="1" hidden="1" customWidth="1"/>
    <col min="65" max="65" width="6" style="1" hidden="1" customWidth="1"/>
    <col min="66" max="66" width="4.85546875" style="1" hidden="1" customWidth="1"/>
    <col min="67" max="67" width="5.42578125" style="1" hidden="1" customWidth="1"/>
    <col min="68" max="68" width="4.85546875" style="1" hidden="1" customWidth="1"/>
    <col min="69" max="69" width="5.28515625" style="1" hidden="1" customWidth="1"/>
    <col min="70" max="70" width="6.140625" style="1" hidden="1" customWidth="1"/>
    <col min="71" max="71" width="4.85546875" style="1" hidden="1" customWidth="1"/>
    <col min="72" max="72" width="5.42578125" style="1" hidden="1" customWidth="1"/>
    <col min="73" max="73" width="4.85546875" style="1" hidden="1" customWidth="1"/>
    <col min="74" max="74" width="5" style="1" hidden="1" customWidth="1"/>
    <col min="75" max="76" width="4.85546875" style="1" hidden="1" customWidth="1"/>
    <col min="77" max="77" width="4.85546875" style="1" customWidth="1"/>
    <col min="78" max="78" width="5.42578125" style="1" hidden="1" customWidth="1"/>
    <col min="79" max="79" width="5.85546875" style="1" hidden="1" customWidth="1"/>
    <col min="80" max="81" width="5" style="1" hidden="1" customWidth="1"/>
    <col min="82" max="92" width="4.85546875" style="1" hidden="1" customWidth="1"/>
    <col min="93" max="93" width="10.28515625" style="1" customWidth="1"/>
    <col min="94" max="94" width="9" style="1" hidden="1" customWidth="1"/>
    <col min="95" max="16384" width="9.140625" style="1"/>
  </cols>
  <sheetData>
    <row r="1" spans="1:93" ht="15.75">
      <c r="A1" s="34">
        <v>46269</v>
      </c>
      <c r="B1" s="34"/>
      <c r="C1" s="2"/>
      <c r="E1" s="3"/>
      <c r="F1" s="35" t="str">
        <f>'1'!F1:U1</f>
        <v xml:space="preserve"> -МТТ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</row>
    <row r="2" spans="1:93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</row>
    <row r="3" spans="1:93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</row>
    <row r="4" spans="1:93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</row>
    <row r="5" spans="1:93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71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/>
      <c r="CH5" s="7"/>
      <c r="CI5" s="7"/>
      <c r="CJ5" s="7"/>
      <c r="CK5" s="7"/>
      <c r="CL5" s="7"/>
      <c r="CM5" s="7"/>
      <c r="CN5" s="7"/>
      <c r="CO5" s="10" t="s">
        <v>87</v>
      </c>
    </row>
    <row r="6" spans="1:93" ht="24.75" customHeight="1">
      <c r="A6" s="47" t="s">
        <v>88</v>
      </c>
      <c r="B6" s="45" t="s">
        <v>126</v>
      </c>
      <c r="C6" s="46"/>
      <c r="D6" s="37">
        <v>150</v>
      </c>
      <c r="E6" s="38"/>
      <c r="F6" s="12"/>
      <c r="G6" s="12"/>
      <c r="H6" s="12"/>
      <c r="I6" s="12"/>
      <c r="J6" s="12"/>
      <c r="K6" s="12">
        <v>4.5</v>
      </c>
      <c r="L6" s="12"/>
      <c r="M6" s="12"/>
      <c r="N6" s="12"/>
      <c r="O6" s="12"/>
      <c r="P6" s="12">
        <v>0.75</v>
      </c>
      <c r="Q6" s="12">
        <v>3</v>
      </c>
      <c r="R6" s="12"/>
      <c r="S6" s="12"/>
      <c r="T6" s="12"/>
      <c r="U6" s="12"/>
      <c r="V6" s="12"/>
      <c r="W6" s="12">
        <v>64</v>
      </c>
      <c r="X6" s="12"/>
      <c r="Y6" s="12"/>
      <c r="Z6" s="12"/>
      <c r="AA6" s="12"/>
      <c r="AB6" s="12"/>
      <c r="AC6" s="12"/>
      <c r="AD6" s="12">
        <v>10</v>
      </c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3">
        <f t="shared" ref="CO6:CO25" si="0">SUM(F6:CN6)</f>
        <v>82.25</v>
      </c>
    </row>
    <row r="7" spans="1:93" ht="24.75" customHeight="1">
      <c r="A7" s="48"/>
      <c r="B7" s="28" t="s">
        <v>107</v>
      </c>
      <c r="C7" s="29"/>
      <c r="D7" s="37">
        <v>150</v>
      </c>
      <c r="E7" s="38"/>
      <c r="F7" s="12"/>
      <c r="G7" s="12"/>
      <c r="H7" s="12"/>
      <c r="I7" s="12"/>
      <c r="J7" s="12"/>
      <c r="K7" s="12">
        <v>7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>
        <v>75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>
        <v>2</v>
      </c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3">
        <f t="shared" si="0"/>
        <v>84</v>
      </c>
    </row>
    <row r="8" spans="1:93" ht="24.75" customHeight="1">
      <c r="A8" s="48"/>
      <c r="B8" s="28" t="s">
        <v>127</v>
      </c>
      <c r="C8" s="29"/>
      <c r="D8" s="37">
        <v>55</v>
      </c>
      <c r="E8" s="38"/>
      <c r="F8" s="12">
        <v>40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15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3">
        <f t="shared" si="0"/>
        <v>55</v>
      </c>
    </row>
    <row r="9" spans="1:93" ht="24.75" hidden="1" customHeight="1">
      <c r="A9" s="49"/>
      <c r="B9" s="28"/>
      <c r="C9" s="29"/>
      <c r="D9" s="37"/>
      <c r="E9" s="3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3">
        <f t="shared" si="0"/>
        <v>0</v>
      </c>
    </row>
    <row r="10" spans="1:93" ht="24" customHeight="1">
      <c r="A10" s="47" t="s">
        <v>90</v>
      </c>
      <c r="B10" s="45" t="s">
        <v>128</v>
      </c>
      <c r="C10" s="46"/>
      <c r="D10" s="37" t="s">
        <v>91</v>
      </c>
      <c r="E10" s="38"/>
      <c r="F10" s="12"/>
      <c r="G10" s="12"/>
      <c r="H10" s="12">
        <v>34</v>
      </c>
      <c r="I10" s="12"/>
      <c r="J10" s="12">
        <v>2</v>
      </c>
      <c r="K10" s="12"/>
      <c r="L10" s="12"/>
      <c r="M10" s="12">
        <v>21.3</v>
      </c>
      <c r="N10" s="12">
        <v>7.5</v>
      </c>
      <c r="O10" s="12">
        <v>5.4</v>
      </c>
      <c r="P10" s="12">
        <v>0.5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>
        <v>6</v>
      </c>
      <c r="AI10" s="12"/>
      <c r="AJ10" s="12">
        <v>5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>
        <v>1.9</v>
      </c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3">
        <f t="shared" si="0"/>
        <v>83.600000000000009</v>
      </c>
    </row>
    <row r="11" spans="1:93" ht="24" customHeight="1">
      <c r="A11" s="48"/>
      <c r="B11" s="61" t="s">
        <v>129</v>
      </c>
      <c r="C11" s="62"/>
      <c r="D11" s="39">
        <v>50</v>
      </c>
      <c r="E11" s="40"/>
      <c r="F11" s="12"/>
      <c r="G11" s="12"/>
      <c r="H11" s="12"/>
      <c r="I11" s="12">
        <v>50.9</v>
      </c>
      <c r="J11" s="12"/>
      <c r="K11" s="12"/>
      <c r="L11" s="12"/>
      <c r="M11" s="12"/>
      <c r="N11" s="12">
        <v>7.8</v>
      </c>
      <c r="O11" s="12">
        <v>6.8</v>
      </c>
      <c r="P11" s="12">
        <v>0.6</v>
      </c>
      <c r="Q11" s="12">
        <v>2.5</v>
      </c>
      <c r="R11" s="12"/>
      <c r="S11" s="12"/>
      <c r="T11" s="12"/>
      <c r="U11" s="12"/>
      <c r="V11" s="12"/>
      <c r="W11" s="12"/>
      <c r="X11" s="12"/>
      <c r="Y11" s="12"/>
      <c r="Z11" s="12">
        <v>0.7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>
        <v>1</v>
      </c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3">
        <f t="shared" si="0"/>
        <v>70.3</v>
      </c>
    </row>
    <row r="12" spans="1:93" ht="26.25" customHeight="1">
      <c r="A12" s="48"/>
      <c r="B12" s="68" t="s">
        <v>130</v>
      </c>
      <c r="C12" s="14" t="s">
        <v>131</v>
      </c>
      <c r="D12" s="63" t="s">
        <v>132</v>
      </c>
      <c r="E12" s="64"/>
      <c r="F12" s="12"/>
      <c r="G12" s="12"/>
      <c r="H12" s="12"/>
      <c r="I12" s="12"/>
      <c r="J12" s="12">
        <v>1.5</v>
      </c>
      <c r="K12" s="12">
        <v>1</v>
      </c>
      <c r="L12" s="12"/>
      <c r="M12" s="12"/>
      <c r="N12" s="12">
        <v>8</v>
      </c>
      <c r="O12" s="12">
        <v>3.5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>
        <v>0.5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>
        <v>81.25</v>
      </c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3">
        <f t="shared" si="0"/>
        <v>95.75</v>
      </c>
    </row>
    <row r="13" spans="1:93" ht="27" customHeight="1">
      <c r="A13" s="48"/>
      <c r="B13" s="69"/>
      <c r="C13" s="14" t="s">
        <v>133</v>
      </c>
      <c r="D13" s="39"/>
      <c r="E13" s="40"/>
      <c r="F13" s="12"/>
      <c r="G13" s="12"/>
      <c r="H13" s="12"/>
      <c r="I13" s="12"/>
      <c r="J13" s="12"/>
      <c r="K13" s="12"/>
      <c r="L13" s="12"/>
      <c r="M13" s="12">
        <v>92.5</v>
      </c>
      <c r="N13" s="12"/>
      <c r="O13" s="12"/>
      <c r="P13" s="12">
        <v>0.5</v>
      </c>
      <c r="Q13" s="12">
        <v>2.15</v>
      </c>
      <c r="R13" s="12"/>
      <c r="S13" s="12"/>
      <c r="T13" s="12"/>
      <c r="U13" s="12"/>
      <c r="V13" s="12"/>
      <c r="W13" s="12">
        <v>10</v>
      </c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3">
        <f t="shared" si="0"/>
        <v>105.15</v>
      </c>
    </row>
    <row r="14" spans="1:93" ht="27.75" customHeight="1">
      <c r="A14" s="48"/>
      <c r="B14" s="41" t="s">
        <v>112</v>
      </c>
      <c r="C14" s="41"/>
      <c r="D14" s="37">
        <v>45</v>
      </c>
      <c r="E14" s="38"/>
      <c r="F14" s="12"/>
      <c r="G14" s="12"/>
      <c r="H14" s="12"/>
      <c r="I14" s="12"/>
      <c r="J14" s="12">
        <v>1</v>
      </c>
      <c r="K14" s="12"/>
      <c r="L14" s="12"/>
      <c r="M14" s="12"/>
      <c r="N14" s="12"/>
      <c r="O14" s="12"/>
      <c r="P14" s="12">
        <v>0.3</v>
      </c>
      <c r="Q14" s="12"/>
      <c r="R14" s="12">
        <v>28.1</v>
      </c>
      <c r="S14" s="12">
        <v>25.9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3">
        <f t="shared" si="0"/>
        <v>55.3</v>
      </c>
    </row>
    <row r="15" spans="1:93" ht="24.75" customHeight="1">
      <c r="A15" s="48"/>
      <c r="B15" s="41" t="s">
        <v>134</v>
      </c>
      <c r="C15" s="41"/>
      <c r="D15" s="39">
        <v>150</v>
      </c>
      <c r="E15" s="40"/>
      <c r="F15" s="12"/>
      <c r="G15" s="12"/>
      <c r="H15" s="12"/>
      <c r="I15" s="12"/>
      <c r="J15" s="12"/>
      <c r="K15" s="12">
        <v>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>
        <v>42.9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3">
        <f t="shared" si="0"/>
        <v>50.9</v>
      </c>
    </row>
    <row r="16" spans="1:93" ht="24.75" customHeight="1">
      <c r="A16" s="48"/>
      <c r="B16" s="28" t="s">
        <v>94</v>
      </c>
      <c r="C16" s="29"/>
      <c r="D16" s="37">
        <v>60</v>
      </c>
      <c r="E16" s="38"/>
      <c r="F16" s="12">
        <v>60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3">
        <f t="shared" si="0"/>
        <v>60</v>
      </c>
    </row>
    <row r="17" spans="1:94" ht="24.75" hidden="1" customHeight="1">
      <c r="A17" s="49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3">
        <f t="shared" si="0"/>
        <v>0</v>
      </c>
    </row>
    <row r="18" spans="1:94" ht="24.75" customHeight="1">
      <c r="A18" s="57" t="s">
        <v>95</v>
      </c>
      <c r="B18" s="41" t="s">
        <v>135</v>
      </c>
      <c r="C18" s="41"/>
      <c r="D18" s="52">
        <v>50</v>
      </c>
      <c r="E18" s="52"/>
      <c r="F18" s="12">
        <v>9</v>
      </c>
      <c r="G18" s="12"/>
      <c r="H18" s="12"/>
      <c r="I18" s="12"/>
      <c r="J18" s="12">
        <v>3</v>
      </c>
      <c r="K18" s="12"/>
      <c r="L18" s="12"/>
      <c r="N18" s="12"/>
      <c r="O18" s="12"/>
      <c r="P18" s="12">
        <v>1</v>
      </c>
      <c r="Q18" s="12"/>
      <c r="R18" s="12"/>
      <c r="S18" s="12"/>
      <c r="T18" s="12"/>
      <c r="U18" s="12"/>
      <c r="V18" s="12"/>
      <c r="W18" s="12">
        <v>13</v>
      </c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>
        <v>42</v>
      </c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3">
        <f t="shared" si="0"/>
        <v>68</v>
      </c>
    </row>
    <row r="19" spans="1:94" ht="24.75" customHeight="1">
      <c r="A19" s="58"/>
      <c r="B19" s="41" t="s">
        <v>136</v>
      </c>
      <c r="C19" s="41"/>
      <c r="D19" s="52">
        <v>40</v>
      </c>
      <c r="E19" s="52"/>
      <c r="F19" s="12">
        <v>40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3">
        <f t="shared" si="0"/>
        <v>40</v>
      </c>
    </row>
    <row r="20" spans="1:94" ht="24.75" customHeight="1">
      <c r="A20" s="58"/>
      <c r="B20" s="50" t="s">
        <v>137</v>
      </c>
      <c r="C20" s="51"/>
      <c r="D20" s="37">
        <v>150</v>
      </c>
      <c r="E20" s="38"/>
      <c r="F20" s="12"/>
      <c r="G20" s="12">
        <v>0.2</v>
      </c>
      <c r="H20" s="12"/>
      <c r="I20" s="12"/>
      <c r="J20" s="12"/>
      <c r="K20" s="12">
        <v>6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3">
        <f t="shared" si="0"/>
        <v>6.2</v>
      </c>
    </row>
    <row r="21" spans="1:94" ht="24" hidden="1" customHeight="1">
      <c r="A21" s="59"/>
      <c r="B21" s="45"/>
      <c r="C21" s="46"/>
      <c r="D21" s="37"/>
      <c r="E21" s="3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3">
        <f t="shared" si="0"/>
        <v>0</v>
      </c>
    </row>
    <row r="22" spans="1:94" ht="24.75" hidden="1" customHeight="1">
      <c r="A22" s="60"/>
      <c r="B22" s="28"/>
      <c r="C22" s="29"/>
      <c r="D22" s="52"/>
      <c r="E22" s="5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3">
        <f t="shared" si="0"/>
        <v>0</v>
      </c>
    </row>
    <row r="23" spans="1:94" ht="24.75" hidden="1" customHeight="1">
      <c r="A23" s="60"/>
      <c r="B23" s="28"/>
      <c r="C23" s="29"/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3">
        <f t="shared" si="0"/>
        <v>0</v>
      </c>
    </row>
    <row r="24" spans="1:94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3">
        <f t="shared" si="0"/>
        <v>0</v>
      </c>
    </row>
    <row r="25" spans="1:94" ht="0.75" customHeight="1">
      <c r="A25" s="60"/>
      <c r="B25" s="33"/>
      <c r="C25" s="33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3">
        <f t="shared" si="0"/>
        <v>0</v>
      </c>
    </row>
    <row r="26" spans="1:94" ht="18.75" customHeight="1">
      <c r="A26" s="53" t="s">
        <v>100</v>
      </c>
      <c r="B26" s="54"/>
      <c r="C26" s="54"/>
      <c r="D26" s="55"/>
      <c r="E26" s="18"/>
      <c r="F26" s="19">
        <f t="shared" ref="F26:BQ26" si="1">SUM(F6:F21)</f>
        <v>149</v>
      </c>
      <c r="G26" s="19">
        <f t="shared" si="1"/>
        <v>0.2</v>
      </c>
      <c r="H26" s="19">
        <f t="shared" si="1"/>
        <v>34</v>
      </c>
      <c r="I26" s="19">
        <f t="shared" si="1"/>
        <v>50.9</v>
      </c>
      <c r="J26" s="19">
        <f t="shared" si="1"/>
        <v>7.5</v>
      </c>
      <c r="K26" s="19">
        <f t="shared" si="1"/>
        <v>26.5</v>
      </c>
      <c r="L26" s="19">
        <f t="shared" si="1"/>
        <v>0</v>
      </c>
      <c r="M26" s="19">
        <f t="shared" si="1"/>
        <v>113.8</v>
      </c>
      <c r="N26" s="19">
        <f t="shared" si="1"/>
        <v>23.3</v>
      </c>
      <c r="O26" s="19">
        <f t="shared" si="1"/>
        <v>15.7</v>
      </c>
      <c r="P26" s="19">
        <f t="shared" si="1"/>
        <v>3.65</v>
      </c>
      <c r="Q26" s="19">
        <f t="shared" si="1"/>
        <v>22.65</v>
      </c>
      <c r="R26" s="19">
        <f t="shared" si="1"/>
        <v>28.1</v>
      </c>
      <c r="S26" s="19">
        <f t="shared" si="1"/>
        <v>25.9</v>
      </c>
      <c r="T26" s="19">
        <f t="shared" si="1"/>
        <v>0</v>
      </c>
      <c r="U26" s="19">
        <f t="shared" si="1"/>
        <v>0</v>
      </c>
      <c r="V26" s="19">
        <f t="shared" si="1"/>
        <v>0</v>
      </c>
      <c r="W26" s="19">
        <f t="shared" si="1"/>
        <v>162</v>
      </c>
      <c r="X26" s="19">
        <f t="shared" si="1"/>
        <v>0</v>
      </c>
      <c r="Y26" s="19">
        <f t="shared" si="1"/>
        <v>0</v>
      </c>
      <c r="Z26" s="19">
        <f t="shared" si="1"/>
        <v>1.2</v>
      </c>
      <c r="AA26" s="19">
        <f t="shared" si="1"/>
        <v>0</v>
      </c>
      <c r="AB26" s="19">
        <f t="shared" si="1"/>
        <v>42.9</v>
      </c>
      <c r="AC26" s="19">
        <f t="shared" si="1"/>
        <v>0</v>
      </c>
      <c r="AD26" s="19">
        <f t="shared" si="1"/>
        <v>10</v>
      </c>
      <c r="AE26" s="19">
        <f t="shared" si="1"/>
        <v>0</v>
      </c>
      <c r="AF26" s="19">
        <f t="shared" si="1"/>
        <v>0</v>
      </c>
      <c r="AG26" s="19">
        <f t="shared" si="1"/>
        <v>0</v>
      </c>
      <c r="AH26" s="19">
        <f t="shared" si="1"/>
        <v>6</v>
      </c>
      <c r="AI26" s="19">
        <f t="shared" si="1"/>
        <v>0</v>
      </c>
      <c r="AJ26" s="19">
        <f t="shared" si="1"/>
        <v>5</v>
      </c>
      <c r="AK26" s="19">
        <f t="shared" si="1"/>
        <v>0</v>
      </c>
      <c r="AL26" s="19">
        <f t="shared" si="1"/>
        <v>0</v>
      </c>
      <c r="AM26" s="19">
        <f t="shared" si="1"/>
        <v>0</v>
      </c>
      <c r="AN26" s="19">
        <f t="shared" si="1"/>
        <v>0</v>
      </c>
      <c r="AO26" s="19">
        <f t="shared" si="1"/>
        <v>0</v>
      </c>
      <c r="AP26" s="19">
        <f t="shared" si="1"/>
        <v>0</v>
      </c>
      <c r="AQ26" s="19">
        <f t="shared" si="1"/>
        <v>0</v>
      </c>
      <c r="AR26" s="19">
        <f t="shared" si="1"/>
        <v>42</v>
      </c>
      <c r="AS26" s="19">
        <f t="shared" si="1"/>
        <v>0</v>
      </c>
      <c r="AT26" s="19">
        <f t="shared" si="1"/>
        <v>1.9</v>
      </c>
      <c r="AU26" s="19">
        <f t="shared" si="1"/>
        <v>2</v>
      </c>
      <c r="AV26" s="19">
        <f t="shared" si="1"/>
        <v>81.25</v>
      </c>
      <c r="AW26" s="19">
        <f t="shared" si="1"/>
        <v>0</v>
      </c>
      <c r="AX26" s="19">
        <f t="shared" si="1"/>
        <v>0</v>
      </c>
      <c r="AY26" s="19">
        <f t="shared" si="1"/>
        <v>0</v>
      </c>
      <c r="AZ26" s="19">
        <f t="shared" si="1"/>
        <v>1</v>
      </c>
      <c r="BA26" s="19">
        <f t="shared" si="1"/>
        <v>0</v>
      </c>
      <c r="BB26" s="19">
        <f t="shared" si="1"/>
        <v>0</v>
      </c>
      <c r="BC26" s="19">
        <f t="shared" si="1"/>
        <v>0</v>
      </c>
      <c r="BD26" s="19">
        <f t="shared" si="1"/>
        <v>0</v>
      </c>
      <c r="BE26" s="19">
        <f t="shared" si="1"/>
        <v>0</v>
      </c>
      <c r="BF26" s="19">
        <f t="shared" si="1"/>
        <v>0</v>
      </c>
      <c r="BG26" s="19">
        <f t="shared" si="1"/>
        <v>0</v>
      </c>
      <c r="BH26" s="19">
        <f t="shared" si="1"/>
        <v>0</v>
      </c>
      <c r="BI26" s="19">
        <f t="shared" si="1"/>
        <v>0</v>
      </c>
      <c r="BJ26" s="19">
        <f t="shared" si="1"/>
        <v>0</v>
      </c>
      <c r="BK26" s="19">
        <f t="shared" si="1"/>
        <v>0</v>
      </c>
      <c r="BL26" s="19">
        <f t="shared" si="1"/>
        <v>0</v>
      </c>
      <c r="BM26" s="19">
        <f t="shared" si="1"/>
        <v>0</v>
      </c>
      <c r="BN26" s="19">
        <f t="shared" si="1"/>
        <v>0</v>
      </c>
      <c r="BO26" s="19">
        <f t="shared" si="1"/>
        <v>0</v>
      </c>
      <c r="BP26" s="19">
        <f t="shared" si="1"/>
        <v>0</v>
      </c>
      <c r="BQ26" s="19">
        <f t="shared" si="1"/>
        <v>0</v>
      </c>
      <c r="BR26" s="19">
        <f t="shared" ref="BR26:CN26" si="2">SUM(BR6:BR21)</f>
        <v>0</v>
      </c>
      <c r="BS26" s="19">
        <f t="shared" si="2"/>
        <v>0</v>
      </c>
      <c r="BT26" s="19">
        <f t="shared" si="2"/>
        <v>0</v>
      </c>
      <c r="BU26" s="19">
        <f t="shared" si="2"/>
        <v>0</v>
      </c>
      <c r="BV26" s="19">
        <f t="shared" si="2"/>
        <v>0</v>
      </c>
      <c r="BW26" s="19">
        <f t="shared" si="2"/>
        <v>0</v>
      </c>
      <c r="BX26" s="19">
        <f t="shared" si="2"/>
        <v>0</v>
      </c>
      <c r="BY26" s="19">
        <f t="shared" si="2"/>
        <v>0</v>
      </c>
      <c r="BZ26" s="19">
        <f t="shared" si="2"/>
        <v>0</v>
      </c>
      <c r="CA26" s="19">
        <f t="shared" si="2"/>
        <v>0</v>
      </c>
      <c r="CB26" s="19">
        <f t="shared" si="2"/>
        <v>0</v>
      </c>
      <c r="CC26" s="19">
        <f t="shared" si="2"/>
        <v>0</v>
      </c>
      <c r="CD26" s="19">
        <f t="shared" si="2"/>
        <v>0</v>
      </c>
      <c r="CE26" s="19">
        <f t="shared" si="2"/>
        <v>0</v>
      </c>
      <c r="CF26" s="19">
        <f t="shared" si="2"/>
        <v>0</v>
      </c>
      <c r="CG26" s="19">
        <f t="shared" si="2"/>
        <v>0</v>
      </c>
      <c r="CH26" s="19">
        <f t="shared" si="2"/>
        <v>0</v>
      </c>
      <c r="CI26" s="19">
        <f t="shared" si="2"/>
        <v>0</v>
      </c>
      <c r="CJ26" s="19">
        <f t="shared" si="2"/>
        <v>0</v>
      </c>
      <c r="CK26" s="19">
        <f t="shared" si="2"/>
        <v>0</v>
      </c>
      <c r="CL26" s="19">
        <f t="shared" si="2"/>
        <v>0</v>
      </c>
      <c r="CM26" s="19">
        <f t="shared" si="2"/>
        <v>0</v>
      </c>
      <c r="CN26" s="19">
        <f t="shared" si="2"/>
        <v>0</v>
      </c>
      <c r="CO26" s="13"/>
    </row>
    <row r="27" spans="1:94" ht="18.75" hidden="1" customHeight="1">
      <c r="A27" s="15"/>
      <c r="B27" s="16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3"/>
    </row>
    <row r="28" spans="1:94" ht="18.75" hidden="1" customHeight="1">
      <c r="A28" s="15"/>
      <c r="B28" s="16"/>
      <c r="C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3"/>
    </row>
    <row r="29" spans="1:94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3"/>
    </row>
    <row r="30" spans="1:94" ht="18.75" customHeight="1">
      <c r="A30" s="53" t="s">
        <v>101</v>
      </c>
      <c r="B30" s="54"/>
      <c r="C30" s="54"/>
      <c r="D30" s="55"/>
      <c r="E30" s="18"/>
      <c r="F30" s="20">
        <f>+F26*$A$4/1000</f>
        <v>0</v>
      </c>
      <c r="G30" s="20">
        <f t="shared" ref="G30:BR30" si="3">+G26*$A$4/1000</f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>+T26*$A$4/55</f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0</v>
      </c>
      <c r="AD30" s="20">
        <f t="shared" si="3"/>
        <v>0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20">
        <f t="shared" si="3"/>
        <v>0</v>
      </c>
      <c r="AO30" s="20">
        <f t="shared" si="3"/>
        <v>0</v>
      </c>
      <c r="AP30" s="20">
        <f t="shared" si="3"/>
        <v>0</v>
      </c>
      <c r="AQ30" s="20">
        <f t="shared" si="3"/>
        <v>0</v>
      </c>
      <c r="AR30" s="20">
        <f t="shared" si="3"/>
        <v>0</v>
      </c>
      <c r="AS30" s="20">
        <f t="shared" si="3"/>
        <v>0</v>
      </c>
      <c r="AT30" s="20">
        <f t="shared" si="3"/>
        <v>0</v>
      </c>
      <c r="AU30" s="20">
        <f t="shared" si="3"/>
        <v>0</v>
      </c>
      <c r="AV30" s="20">
        <f t="shared" si="3"/>
        <v>0</v>
      </c>
      <c r="AW30" s="20">
        <f t="shared" si="3"/>
        <v>0</v>
      </c>
      <c r="AX30" s="20">
        <f t="shared" si="3"/>
        <v>0</v>
      </c>
      <c r="AY30" s="20">
        <f t="shared" si="3"/>
        <v>0</v>
      </c>
      <c r="AZ30" s="20">
        <f t="shared" si="3"/>
        <v>0</v>
      </c>
      <c r="BA30" s="20">
        <f t="shared" si="3"/>
        <v>0</v>
      </c>
      <c r="BB30" s="20">
        <f t="shared" si="3"/>
        <v>0</v>
      </c>
      <c r="BC30" s="20">
        <f t="shared" si="3"/>
        <v>0</v>
      </c>
      <c r="BD30" s="20">
        <f t="shared" si="3"/>
        <v>0</v>
      </c>
      <c r="BE30" s="20">
        <f t="shared" si="3"/>
        <v>0</v>
      </c>
      <c r="BF30" s="20">
        <f t="shared" si="3"/>
        <v>0</v>
      </c>
      <c r="BG30" s="20">
        <f t="shared" si="3"/>
        <v>0</v>
      </c>
      <c r="BH30" s="20">
        <f t="shared" si="3"/>
        <v>0</v>
      </c>
      <c r="BI30" s="20">
        <f t="shared" si="3"/>
        <v>0</v>
      </c>
      <c r="BJ30" s="20">
        <f t="shared" si="3"/>
        <v>0</v>
      </c>
      <c r="BK30" s="20">
        <f t="shared" si="3"/>
        <v>0</v>
      </c>
      <c r="BL30" s="20">
        <f t="shared" si="3"/>
        <v>0</v>
      </c>
      <c r="BM30" s="20">
        <f t="shared" si="3"/>
        <v>0</v>
      </c>
      <c r="BN30" s="20">
        <f t="shared" si="3"/>
        <v>0</v>
      </c>
      <c r="BO30" s="20">
        <f t="shared" si="3"/>
        <v>0</v>
      </c>
      <c r="BP30" s="20">
        <f t="shared" si="3"/>
        <v>0</v>
      </c>
      <c r="BQ30" s="20">
        <f t="shared" si="3"/>
        <v>0</v>
      </c>
      <c r="BR30" s="20">
        <f t="shared" si="3"/>
        <v>0</v>
      </c>
      <c r="BS30" s="20">
        <f t="shared" ref="BS30:CN30" si="4">+BS26*$A$4/1000</f>
        <v>0</v>
      </c>
      <c r="BT30" s="20">
        <f t="shared" si="4"/>
        <v>0</v>
      </c>
      <c r="BU30" s="20">
        <f t="shared" si="4"/>
        <v>0</v>
      </c>
      <c r="BV30" s="20">
        <f t="shared" si="4"/>
        <v>0</v>
      </c>
      <c r="BW30" s="20">
        <f t="shared" si="4"/>
        <v>0</v>
      </c>
      <c r="BX30" s="20">
        <f t="shared" si="4"/>
        <v>0</v>
      </c>
      <c r="BY30" s="20">
        <f t="shared" si="4"/>
        <v>0</v>
      </c>
      <c r="BZ30" s="20">
        <f t="shared" si="4"/>
        <v>0</v>
      </c>
      <c r="CA30" s="20">
        <f t="shared" si="4"/>
        <v>0</v>
      </c>
      <c r="CB30" s="20">
        <f t="shared" si="4"/>
        <v>0</v>
      </c>
      <c r="CC30" s="19">
        <f t="shared" si="4"/>
        <v>0</v>
      </c>
      <c r="CD30" s="19">
        <f t="shared" si="4"/>
        <v>0</v>
      </c>
      <c r="CE30" s="19">
        <f t="shared" si="4"/>
        <v>0</v>
      </c>
      <c r="CF30" s="19">
        <f t="shared" si="4"/>
        <v>0</v>
      </c>
      <c r="CG30" s="19">
        <f t="shared" si="4"/>
        <v>0</v>
      </c>
      <c r="CH30" s="19">
        <f t="shared" si="4"/>
        <v>0</v>
      </c>
      <c r="CI30" s="19">
        <f t="shared" si="4"/>
        <v>0</v>
      </c>
      <c r="CJ30" s="19">
        <f t="shared" si="4"/>
        <v>0</v>
      </c>
      <c r="CK30" s="19">
        <f t="shared" si="4"/>
        <v>0</v>
      </c>
      <c r="CL30" s="19">
        <f t="shared" si="4"/>
        <v>0</v>
      </c>
      <c r="CM30" s="19">
        <f t="shared" si="4"/>
        <v>0</v>
      </c>
      <c r="CN30" s="19">
        <f t="shared" si="4"/>
        <v>0</v>
      </c>
      <c r="CO30" s="13"/>
    </row>
    <row r="31" spans="1:9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21"/>
    </row>
    <row r="32" spans="1:94">
      <c r="A32" s="22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 t="s">
        <v>103</v>
      </c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</row>
  </sheetData>
  <autoFilter ref="A5:CO30" xr:uid="{00000000-0009-0000-0000-000006000000}"/>
  <mergeCells count="65">
    <mergeCell ref="A10:A17"/>
    <mergeCell ref="A18:A21"/>
    <mergeCell ref="A22:A25"/>
    <mergeCell ref="B25:C25"/>
    <mergeCell ref="B16:C16"/>
    <mergeCell ref="B19:C19"/>
    <mergeCell ref="B22:C22"/>
    <mergeCell ref="B11:C11"/>
    <mergeCell ref="B10:C10"/>
    <mergeCell ref="D25:E25"/>
    <mergeCell ref="A26:D26"/>
    <mergeCell ref="A30:D30"/>
    <mergeCell ref="F32:AE32"/>
    <mergeCell ref="AF32:CP32"/>
    <mergeCell ref="D16:E16"/>
    <mergeCell ref="B17:C17"/>
    <mergeCell ref="D17:E17"/>
    <mergeCell ref="B18:C18"/>
    <mergeCell ref="D18:E18"/>
    <mergeCell ref="D19:E19"/>
    <mergeCell ref="B20:C20"/>
    <mergeCell ref="D20:E20"/>
    <mergeCell ref="B21:C21"/>
    <mergeCell ref="D21:E21"/>
    <mergeCell ref="D22:E22"/>
    <mergeCell ref="B23:C23"/>
    <mergeCell ref="D23:E23"/>
    <mergeCell ref="B24:C24"/>
    <mergeCell ref="D24:E24"/>
    <mergeCell ref="A5:C5"/>
    <mergeCell ref="D5:E5"/>
    <mergeCell ref="B6:C6"/>
    <mergeCell ref="D6:E6"/>
    <mergeCell ref="B7:C7"/>
    <mergeCell ref="D7:E7"/>
    <mergeCell ref="A6:A9"/>
    <mergeCell ref="B8:C8"/>
    <mergeCell ref="D8:E8"/>
    <mergeCell ref="B9:C9"/>
    <mergeCell ref="D9:E9"/>
    <mergeCell ref="D10:E10"/>
    <mergeCell ref="D11:E11"/>
    <mergeCell ref="B14:C14"/>
    <mergeCell ref="D14:E14"/>
    <mergeCell ref="B15:C15"/>
    <mergeCell ref="D15:E15"/>
    <mergeCell ref="D12:E13"/>
    <mergeCell ref="B12:B13"/>
    <mergeCell ref="A1:B1"/>
    <mergeCell ref="F1:U1"/>
    <mergeCell ref="V1:CO1"/>
    <mergeCell ref="F2:U2"/>
    <mergeCell ref="V2:CO2"/>
    <mergeCell ref="V3:CO3"/>
    <mergeCell ref="A4:B4"/>
    <mergeCell ref="D4:E4"/>
    <mergeCell ref="F4:K4"/>
    <mergeCell ref="L4:P4"/>
    <mergeCell ref="Q4:U4"/>
    <mergeCell ref="V4:BK4"/>
    <mergeCell ref="A3:B3"/>
    <mergeCell ref="D3:E3"/>
    <mergeCell ref="F3:K3"/>
    <mergeCell ref="L3:P3"/>
    <mergeCell ref="Q3:U3"/>
  </mergeCells>
  <pageMargins left="0" right="0" top="0.98425196850393704" bottom="1.1811023622047201" header="0.31496062992126" footer="0.31496062992126"/>
  <pageSetup paperSize="9" scale="77" fitToHeight="2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5">
    <pageSetUpPr fitToPage="1"/>
  </sheetPr>
  <dimension ref="A1:CL36"/>
  <sheetViews>
    <sheetView view="pageBreakPreview" zoomScaleNormal="80" zoomScaleSheetLayoutView="100" workbookViewId="0">
      <selection activeCell="V3" sqref="V3:CL3"/>
    </sheetView>
  </sheetViews>
  <sheetFormatPr defaultColWidth="9.140625" defaultRowHeight="11.25"/>
  <cols>
    <col min="1" max="1" width="10.140625" style="1" customWidth="1"/>
    <col min="2" max="2" width="11.7109375" style="1" customWidth="1"/>
    <col min="3" max="3" width="9.5703125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customWidth="1"/>
    <col min="8" max="8" width="6.28515625" style="1" customWidth="1"/>
    <col min="9" max="9" width="5.28515625" style="1" hidden="1" customWidth="1"/>
    <col min="10" max="10" width="5.28515625" style="1" customWidth="1"/>
    <col min="11" max="11" width="5.85546875" style="1" customWidth="1"/>
    <col min="12" max="12" width="5.7109375" style="1" customWidth="1"/>
    <col min="13" max="13" width="6" style="1" customWidth="1"/>
    <col min="14" max="14" width="5.140625" style="1" customWidth="1"/>
    <col min="15" max="15" width="5.7109375" style="1" customWidth="1"/>
    <col min="16" max="16" width="4.7109375" style="1" customWidth="1"/>
    <col min="17" max="17" width="6" style="1" customWidth="1"/>
    <col min="18" max="18" width="5.5703125" style="1" hidden="1" customWidth="1"/>
    <col min="19" max="19" width="5.5703125" style="1" customWidth="1"/>
    <col min="20" max="20" width="5.140625" style="1" customWidth="1"/>
    <col min="21" max="21" width="5.7109375" style="1" hidden="1" customWidth="1"/>
    <col min="22" max="22" width="4.85546875" style="1" hidden="1" customWidth="1"/>
    <col min="23" max="23" width="6" style="1" customWidth="1"/>
    <col min="24" max="24" width="5.28515625" style="1" customWidth="1"/>
    <col min="25" max="25" width="5.85546875" style="1" hidden="1" customWidth="1"/>
    <col min="26" max="26" width="5.5703125" style="1" customWidth="1"/>
    <col min="27" max="27" width="5.5703125" style="1" hidden="1" customWidth="1"/>
    <col min="28" max="28" width="6.5703125" style="1" customWidth="1"/>
    <col min="29" max="31" width="4.85546875" style="1" hidden="1" customWidth="1"/>
    <col min="32" max="32" width="5.7109375" style="1" customWidth="1"/>
    <col min="33" max="33" width="5.28515625" style="1" hidden="1" customWidth="1"/>
    <col min="34" max="34" width="5.42578125" style="1" hidden="1" customWidth="1"/>
    <col min="35" max="36" width="5.28515625" style="1" hidden="1" customWidth="1"/>
    <col min="37" max="37" width="4.85546875" style="1" hidden="1" customWidth="1"/>
    <col min="38" max="38" width="5.85546875" style="1" hidden="1" customWidth="1"/>
    <col min="39" max="40" width="4.85546875" style="1" hidden="1" customWidth="1"/>
    <col min="41" max="41" width="4.7109375" style="1" hidden="1" customWidth="1"/>
    <col min="42" max="43" width="5.42578125" style="1" hidden="1" customWidth="1"/>
    <col min="44" max="44" width="6.140625" style="1" hidden="1" customWidth="1"/>
    <col min="45" max="46" width="4.85546875" style="1" hidden="1" customWidth="1"/>
    <col min="47" max="47" width="5.42578125" style="1" customWidth="1"/>
    <col min="48" max="48" width="5.140625" style="1" hidden="1" customWidth="1"/>
    <col min="49" max="49" width="5.28515625" style="1" hidden="1" customWidth="1"/>
    <col min="50" max="51" width="5.42578125" style="1" hidden="1" customWidth="1"/>
    <col min="52" max="52" width="5.7109375" style="1" customWidth="1"/>
    <col min="53" max="53" width="5.7109375" style="1" hidden="1" customWidth="1"/>
    <col min="54" max="63" width="4.85546875" style="1" hidden="1" customWidth="1"/>
    <col min="64" max="64" width="5.28515625" style="1" hidden="1" customWidth="1"/>
    <col min="65" max="65" width="6" style="1" hidden="1" customWidth="1"/>
    <col min="66" max="66" width="4.85546875" style="1" hidden="1" customWidth="1"/>
    <col min="67" max="67" width="5.42578125" style="1" hidden="1" customWidth="1"/>
    <col min="68" max="68" width="4.85546875" style="1" hidden="1" customWidth="1"/>
    <col min="69" max="69" width="5.28515625" style="1" hidden="1" customWidth="1"/>
    <col min="70" max="70" width="6.140625" style="1" hidden="1" customWidth="1"/>
    <col min="71" max="71" width="4.85546875" style="1" customWidth="1"/>
    <col min="72" max="72" width="5.42578125" style="1" hidden="1" customWidth="1"/>
    <col min="73" max="73" width="4.85546875" style="1" hidden="1" customWidth="1"/>
    <col min="74" max="74" width="5" style="1" hidden="1" customWidth="1"/>
    <col min="75" max="77" width="4.85546875" style="1" hidden="1" customWidth="1"/>
    <col min="78" max="78" width="5.42578125" style="1" hidden="1" customWidth="1"/>
    <col min="79" max="79" width="5.85546875" style="1" hidden="1" customWidth="1"/>
    <col min="80" max="81" width="5" style="1" hidden="1" customWidth="1"/>
    <col min="82" max="89" width="4.85546875" style="1" hidden="1" customWidth="1"/>
    <col min="90" max="90" width="10.28515625" style="1" customWidth="1"/>
    <col min="91" max="16384" width="9.140625" style="1"/>
  </cols>
  <sheetData>
    <row r="1" spans="1:90" ht="15.75">
      <c r="A1" s="34">
        <v>46272</v>
      </c>
      <c r="B1" s="34"/>
      <c r="C1" s="2"/>
      <c r="E1" s="3"/>
      <c r="F1" s="35" t="str">
        <f>'1'!F1:U1</f>
        <v xml:space="preserve"> -МТТ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</row>
    <row r="2" spans="1:90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</row>
    <row r="3" spans="1:90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0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</row>
    <row r="5" spans="1:90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71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/>
      <c r="CH5" s="7"/>
      <c r="CI5" s="7"/>
      <c r="CJ5" s="7"/>
      <c r="CK5" s="7"/>
      <c r="CL5" s="10" t="s">
        <v>87</v>
      </c>
    </row>
    <row r="6" spans="1:90" ht="26.25" customHeight="1">
      <c r="A6" s="47" t="s">
        <v>88</v>
      </c>
      <c r="B6" s="45" t="s">
        <v>138</v>
      </c>
      <c r="C6" s="46"/>
      <c r="D6" s="37">
        <v>150</v>
      </c>
      <c r="E6" s="38"/>
      <c r="F6" s="12"/>
      <c r="G6" s="12"/>
      <c r="H6" s="12"/>
      <c r="I6" s="12"/>
      <c r="J6" s="12"/>
      <c r="K6" s="12">
        <v>3.3</v>
      </c>
      <c r="L6" s="12"/>
      <c r="M6" s="12"/>
      <c r="N6" s="12"/>
      <c r="O6" s="12"/>
      <c r="P6" s="12">
        <v>0.75</v>
      </c>
      <c r="Q6" s="12">
        <v>1.8</v>
      </c>
      <c r="R6" s="12"/>
      <c r="S6" s="12"/>
      <c r="T6" s="12"/>
      <c r="U6" s="12"/>
      <c r="V6" s="12"/>
      <c r="W6" s="12">
        <v>83</v>
      </c>
      <c r="X6" s="12"/>
      <c r="Y6" s="12"/>
      <c r="Z6" s="12"/>
      <c r="AA6" s="12"/>
      <c r="AB6" s="12"/>
      <c r="AC6" s="12"/>
      <c r="AD6" s="12"/>
      <c r="AE6" s="12"/>
      <c r="AF6" s="12">
        <v>16.600000000000001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3">
        <f t="shared" ref="CL6:CL25" si="0">SUM(F6:CK6)</f>
        <v>105.44999999999999</v>
      </c>
    </row>
    <row r="7" spans="1:90" ht="26.25" customHeight="1">
      <c r="A7" s="48"/>
      <c r="B7" s="28" t="s">
        <v>107</v>
      </c>
      <c r="C7" s="29"/>
      <c r="D7" s="37">
        <v>150</v>
      </c>
      <c r="E7" s="38"/>
      <c r="F7" s="12"/>
      <c r="G7" s="12"/>
      <c r="H7" s="12"/>
      <c r="I7" s="12"/>
      <c r="J7" s="12"/>
      <c r="K7" s="12">
        <v>7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>
        <v>75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>
        <v>2</v>
      </c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3">
        <f t="shared" si="0"/>
        <v>84</v>
      </c>
    </row>
    <row r="8" spans="1:90" ht="26.25" customHeight="1">
      <c r="A8" s="48"/>
      <c r="B8" s="28" t="s">
        <v>139</v>
      </c>
      <c r="C8" s="29"/>
      <c r="D8" s="37">
        <v>50</v>
      </c>
      <c r="E8" s="38"/>
      <c r="F8" s="12">
        <v>30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5</v>
      </c>
      <c r="R8" s="12"/>
      <c r="S8" s="12"/>
      <c r="T8" s="12"/>
      <c r="U8" s="12"/>
      <c r="V8" s="12"/>
      <c r="W8" s="12"/>
      <c r="X8" s="12">
        <v>16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3">
        <f t="shared" si="0"/>
        <v>51</v>
      </c>
    </row>
    <row r="9" spans="1:90" ht="26.25" hidden="1" customHeight="1">
      <c r="A9" s="49"/>
      <c r="B9" s="28"/>
      <c r="C9" s="29"/>
      <c r="D9" s="37"/>
      <c r="E9" s="3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3">
        <f t="shared" si="0"/>
        <v>0</v>
      </c>
    </row>
    <row r="10" spans="1:90" ht="26.25" customHeight="1">
      <c r="A10" s="47" t="s">
        <v>90</v>
      </c>
      <c r="B10" s="45" t="s">
        <v>140</v>
      </c>
      <c r="C10" s="46"/>
      <c r="D10" s="37" t="s">
        <v>91</v>
      </c>
      <c r="E10" s="38"/>
      <c r="F10" s="12"/>
      <c r="G10" s="12"/>
      <c r="H10" s="12">
        <v>33</v>
      </c>
      <c r="I10" s="12"/>
      <c r="J10" s="12">
        <v>3</v>
      </c>
      <c r="K10" s="12"/>
      <c r="L10" s="12"/>
      <c r="M10" s="12">
        <v>60</v>
      </c>
      <c r="N10" s="12">
        <v>21</v>
      </c>
      <c r="O10" s="12">
        <v>7.2</v>
      </c>
      <c r="P10" s="12">
        <v>0.5</v>
      </c>
      <c r="Q10" s="12"/>
      <c r="R10" s="12"/>
      <c r="S10" s="12"/>
      <c r="T10" s="12"/>
      <c r="U10" s="12"/>
      <c r="V10" s="12"/>
      <c r="W10" s="12"/>
      <c r="X10" s="12"/>
      <c r="Y10" s="12"/>
      <c r="Z10" s="12">
        <v>1.8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3">
        <f t="shared" si="0"/>
        <v>126.5</v>
      </c>
    </row>
    <row r="11" spans="1:90" ht="26.25" customHeight="1">
      <c r="A11" s="48"/>
      <c r="B11" s="61" t="s">
        <v>141</v>
      </c>
      <c r="C11" s="62"/>
      <c r="D11" s="39">
        <v>180</v>
      </c>
      <c r="E11" s="40"/>
      <c r="F11" s="12"/>
      <c r="G11" s="12"/>
      <c r="H11" s="12">
        <v>54.3</v>
      </c>
      <c r="I11" s="12"/>
      <c r="J11" s="12">
        <v>10</v>
      </c>
      <c r="K11" s="12"/>
      <c r="L11" s="12">
        <v>50</v>
      </c>
      <c r="M11" s="12"/>
      <c r="N11" s="12">
        <v>62.5</v>
      </c>
      <c r="O11" s="12">
        <v>17.899999999999999</v>
      </c>
      <c r="P11" s="12">
        <v>0.5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3">
        <f t="shared" si="0"/>
        <v>195.20000000000002</v>
      </c>
    </row>
    <row r="12" spans="1:90" ht="26.25" customHeight="1">
      <c r="A12" s="48"/>
      <c r="B12" s="41" t="s">
        <v>142</v>
      </c>
      <c r="C12" s="41"/>
      <c r="D12" s="39">
        <v>45</v>
      </c>
      <c r="E12" s="40"/>
      <c r="F12" s="12"/>
      <c r="G12" s="12"/>
      <c r="H12" s="12"/>
      <c r="I12" s="12"/>
      <c r="J12" s="12">
        <v>1</v>
      </c>
      <c r="K12" s="12"/>
      <c r="L12" s="12"/>
      <c r="M12" s="12"/>
      <c r="N12" s="12"/>
      <c r="O12" s="12">
        <v>11.9</v>
      </c>
      <c r="P12" s="12">
        <v>0.5</v>
      </c>
      <c r="Q12" s="12"/>
      <c r="R12" s="12"/>
      <c r="S12" s="12">
        <v>39.4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3">
        <f t="shared" si="0"/>
        <v>52.8</v>
      </c>
    </row>
    <row r="13" spans="1:90" ht="26.25" customHeight="1">
      <c r="A13" s="48"/>
      <c r="B13" s="41" t="s">
        <v>134</v>
      </c>
      <c r="C13" s="41"/>
      <c r="D13" s="39">
        <v>150</v>
      </c>
      <c r="E13" s="40"/>
      <c r="F13" s="12"/>
      <c r="G13" s="12"/>
      <c r="H13" s="12"/>
      <c r="I13" s="12"/>
      <c r="J13" s="12"/>
      <c r="K13" s="12">
        <v>8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>
        <v>43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3">
        <f t="shared" si="0"/>
        <v>51</v>
      </c>
    </row>
    <row r="14" spans="1:90" ht="26.25" customHeight="1">
      <c r="A14" s="48"/>
      <c r="B14" s="28" t="s">
        <v>94</v>
      </c>
      <c r="C14" s="29"/>
      <c r="D14" s="37">
        <v>60</v>
      </c>
      <c r="E14" s="38"/>
      <c r="F14" s="12">
        <v>60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3">
        <f t="shared" si="0"/>
        <v>60</v>
      </c>
    </row>
    <row r="15" spans="1:90" ht="26.25" hidden="1" customHeight="1">
      <c r="A15" s="48"/>
      <c r="B15" s="28"/>
      <c r="C15" s="29"/>
      <c r="D15" s="37"/>
      <c r="E15" s="38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3">
        <f t="shared" si="0"/>
        <v>0</v>
      </c>
    </row>
    <row r="16" spans="1:90" ht="26.25" hidden="1" customHeight="1">
      <c r="A16" s="48"/>
      <c r="B16" s="28"/>
      <c r="C16" s="29"/>
      <c r="D16" s="37"/>
      <c r="E16" s="3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3">
        <f t="shared" si="0"/>
        <v>0</v>
      </c>
    </row>
    <row r="17" spans="1:90" ht="26.25" hidden="1" customHeight="1">
      <c r="A17" s="49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3">
        <f t="shared" si="0"/>
        <v>0</v>
      </c>
    </row>
    <row r="18" spans="1:90" ht="26.25" customHeight="1">
      <c r="A18" s="57" t="s">
        <v>95</v>
      </c>
      <c r="B18" s="68" t="s">
        <v>143</v>
      </c>
      <c r="C18" s="14" t="s">
        <v>96</v>
      </c>
      <c r="D18" s="63">
        <v>100</v>
      </c>
      <c r="E18" s="64"/>
      <c r="F18" s="12"/>
      <c r="G18" s="12"/>
      <c r="H18" s="12"/>
      <c r="I18" s="12"/>
      <c r="J18" s="12"/>
      <c r="K18" s="12">
        <v>8</v>
      </c>
      <c r="L18" s="12"/>
      <c r="M18" s="12"/>
      <c r="N18" s="12"/>
      <c r="O18" s="12">
        <v>40</v>
      </c>
      <c r="P18" s="12">
        <v>1</v>
      </c>
      <c r="Q18" s="12">
        <v>3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>
        <v>30</v>
      </c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>
        <v>56</v>
      </c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3">
        <f t="shared" si="0"/>
        <v>138</v>
      </c>
    </row>
    <row r="19" spans="1:90" ht="26.25" customHeight="1">
      <c r="A19" s="58"/>
      <c r="B19" s="69"/>
      <c r="C19" s="14" t="s">
        <v>97</v>
      </c>
      <c r="D19" s="39"/>
      <c r="E19" s="40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>
        <v>1</v>
      </c>
      <c r="R19" s="12"/>
      <c r="S19" s="12"/>
      <c r="T19" s="12">
        <v>1.2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3">
        <f t="shared" si="0"/>
        <v>2.2000000000000002</v>
      </c>
    </row>
    <row r="20" spans="1:90" ht="26.25" customHeight="1">
      <c r="A20" s="58"/>
      <c r="B20" s="41" t="s">
        <v>7</v>
      </c>
      <c r="C20" s="41"/>
      <c r="D20" s="37">
        <v>150</v>
      </c>
      <c r="E20" s="38"/>
      <c r="F20" s="12"/>
      <c r="G20" s="12">
        <v>0.2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3">
        <f t="shared" si="0"/>
        <v>0.2</v>
      </c>
    </row>
    <row r="21" spans="1:90" ht="26.25" hidden="1" customHeight="1">
      <c r="A21" s="59"/>
      <c r="B21" s="45"/>
      <c r="C21" s="46"/>
      <c r="D21" s="37"/>
      <c r="E21" s="3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3">
        <f t="shared" si="0"/>
        <v>0</v>
      </c>
    </row>
    <row r="22" spans="1:90" ht="24.75" hidden="1" customHeight="1">
      <c r="A22" s="60"/>
      <c r="B22" s="28"/>
      <c r="C22" s="29"/>
      <c r="D22" s="52"/>
      <c r="E22" s="5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3">
        <f t="shared" si="0"/>
        <v>0</v>
      </c>
    </row>
    <row r="23" spans="1:90" ht="24.75" hidden="1" customHeight="1">
      <c r="A23" s="60"/>
      <c r="B23" s="28"/>
      <c r="C23" s="29"/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3">
        <f t="shared" si="0"/>
        <v>0</v>
      </c>
    </row>
    <row r="24" spans="1:90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3">
        <f t="shared" si="0"/>
        <v>0</v>
      </c>
    </row>
    <row r="25" spans="1:90" ht="0.75" customHeight="1">
      <c r="A25" s="60"/>
      <c r="B25" s="33"/>
      <c r="C25" s="33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3">
        <f t="shared" si="0"/>
        <v>0</v>
      </c>
    </row>
    <row r="26" spans="1:90" ht="18.75" customHeight="1">
      <c r="A26" s="53" t="s">
        <v>100</v>
      </c>
      <c r="B26" s="54"/>
      <c r="C26" s="54"/>
      <c r="D26" s="55"/>
      <c r="E26" s="18"/>
      <c r="F26" s="19">
        <f t="shared" ref="F26:BQ26" si="1">SUM(F6:F21)</f>
        <v>90</v>
      </c>
      <c r="G26" s="19">
        <f t="shared" si="1"/>
        <v>0.2</v>
      </c>
      <c r="H26" s="19">
        <f t="shared" si="1"/>
        <v>87.3</v>
      </c>
      <c r="I26" s="19">
        <f t="shared" si="1"/>
        <v>0</v>
      </c>
      <c r="J26" s="19">
        <f t="shared" si="1"/>
        <v>14</v>
      </c>
      <c r="K26" s="19">
        <f t="shared" si="1"/>
        <v>26.3</v>
      </c>
      <c r="L26" s="19">
        <f t="shared" si="1"/>
        <v>50</v>
      </c>
      <c r="M26" s="19">
        <f t="shared" si="1"/>
        <v>60</v>
      </c>
      <c r="N26" s="19">
        <f t="shared" si="1"/>
        <v>83.5</v>
      </c>
      <c r="O26" s="19">
        <f t="shared" si="1"/>
        <v>77</v>
      </c>
      <c r="P26" s="19">
        <f t="shared" si="1"/>
        <v>3.25</v>
      </c>
      <c r="Q26" s="19">
        <f t="shared" si="1"/>
        <v>10.8</v>
      </c>
      <c r="R26" s="19">
        <f t="shared" si="1"/>
        <v>0</v>
      </c>
      <c r="S26" s="19">
        <f t="shared" si="1"/>
        <v>39.4</v>
      </c>
      <c r="T26" s="19">
        <f t="shared" si="1"/>
        <v>1.2</v>
      </c>
      <c r="U26" s="19">
        <f t="shared" si="1"/>
        <v>0</v>
      </c>
      <c r="V26" s="19">
        <f t="shared" si="1"/>
        <v>0</v>
      </c>
      <c r="W26" s="19">
        <f t="shared" si="1"/>
        <v>158</v>
      </c>
      <c r="X26" s="19">
        <f t="shared" si="1"/>
        <v>16</v>
      </c>
      <c r="Y26" s="19">
        <f t="shared" si="1"/>
        <v>0</v>
      </c>
      <c r="Z26" s="19">
        <f t="shared" si="1"/>
        <v>1.8</v>
      </c>
      <c r="AA26" s="19">
        <f t="shared" si="1"/>
        <v>0</v>
      </c>
      <c r="AB26" s="19">
        <f t="shared" si="1"/>
        <v>43</v>
      </c>
      <c r="AC26" s="19">
        <f t="shared" si="1"/>
        <v>0</v>
      </c>
      <c r="AD26" s="19">
        <f t="shared" si="1"/>
        <v>0</v>
      </c>
      <c r="AE26" s="19">
        <f t="shared" si="1"/>
        <v>0</v>
      </c>
      <c r="AF26" s="19">
        <f t="shared" si="1"/>
        <v>16.600000000000001</v>
      </c>
      <c r="AG26" s="19">
        <f t="shared" si="1"/>
        <v>0</v>
      </c>
      <c r="AH26" s="19">
        <f t="shared" si="1"/>
        <v>0</v>
      </c>
      <c r="AI26" s="19">
        <f t="shared" si="1"/>
        <v>0</v>
      </c>
      <c r="AJ26" s="19">
        <f t="shared" si="1"/>
        <v>0</v>
      </c>
      <c r="AK26" s="19">
        <f t="shared" si="1"/>
        <v>0</v>
      </c>
      <c r="AL26" s="19">
        <f t="shared" si="1"/>
        <v>0</v>
      </c>
      <c r="AM26" s="19">
        <f t="shared" si="1"/>
        <v>0</v>
      </c>
      <c r="AN26" s="19">
        <f t="shared" si="1"/>
        <v>0</v>
      </c>
      <c r="AO26" s="19">
        <f t="shared" si="1"/>
        <v>0</v>
      </c>
      <c r="AP26" s="19">
        <f t="shared" si="1"/>
        <v>0</v>
      </c>
      <c r="AQ26" s="19">
        <f t="shared" si="1"/>
        <v>0</v>
      </c>
      <c r="AR26" s="19">
        <f t="shared" si="1"/>
        <v>0</v>
      </c>
      <c r="AS26" s="19">
        <f t="shared" si="1"/>
        <v>0</v>
      </c>
      <c r="AT26" s="19">
        <f t="shared" si="1"/>
        <v>0</v>
      </c>
      <c r="AU26" s="19">
        <f t="shared" si="1"/>
        <v>2</v>
      </c>
      <c r="AV26" s="19">
        <f t="shared" si="1"/>
        <v>0</v>
      </c>
      <c r="AW26" s="19">
        <f t="shared" si="1"/>
        <v>0</v>
      </c>
      <c r="AX26" s="19">
        <f t="shared" si="1"/>
        <v>0</v>
      </c>
      <c r="AY26" s="19">
        <f t="shared" si="1"/>
        <v>0</v>
      </c>
      <c r="AZ26" s="19">
        <f t="shared" si="1"/>
        <v>30</v>
      </c>
      <c r="BA26" s="19">
        <f t="shared" si="1"/>
        <v>0</v>
      </c>
      <c r="BB26" s="19">
        <f t="shared" si="1"/>
        <v>0</v>
      </c>
      <c r="BC26" s="19">
        <f t="shared" si="1"/>
        <v>0</v>
      </c>
      <c r="BD26" s="19">
        <f t="shared" si="1"/>
        <v>0</v>
      </c>
      <c r="BE26" s="19">
        <f t="shared" si="1"/>
        <v>0</v>
      </c>
      <c r="BF26" s="19">
        <f t="shared" si="1"/>
        <v>0</v>
      </c>
      <c r="BG26" s="19">
        <f t="shared" si="1"/>
        <v>0</v>
      </c>
      <c r="BH26" s="19">
        <f t="shared" si="1"/>
        <v>0</v>
      </c>
      <c r="BI26" s="19">
        <f t="shared" si="1"/>
        <v>0</v>
      </c>
      <c r="BJ26" s="19">
        <f t="shared" si="1"/>
        <v>0</v>
      </c>
      <c r="BK26" s="19">
        <f t="shared" si="1"/>
        <v>0</v>
      </c>
      <c r="BL26" s="19">
        <f t="shared" si="1"/>
        <v>0</v>
      </c>
      <c r="BM26" s="19">
        <f t="shared" si="1"/>
        <v>0</v>
      </c>
      <c r="BN26" s="19">
        <f t="shared" si="1"/>
        <v>0</v>
      </c>
      <c r="BO26" s="19">
        <f t="shared" si="1"/>
        <v>0</v>
      </c>
      <c r="BP26" s="19">
        <f t="shared" si="1"/>
        <v>0</v>
      </c>
      <c r="BQ26" s="19">
        <f t="shared" si="1"/>
        <v>0</v>
      </c>
      <c r="BR26" s="19">
        <f t="shared" ref="BR26:CK26" si="2">SUM(BR6:BR21)</f>
        <v>0</v>
      </c>
      <c r="BS26" s="19">
        <f t="shared" si="2"/>
        <v>56</v>
      </c>
      <c r="BT26" s="19">
        <f t="shared" si="2"/>
        <v>0</v>
      </c>
      <c r="BU26" s="19">
        <f t="shared" si="2"/>
        <v>0</v>
      </c>
      <c r="BV26" s="19">
        <f t="shared" si="2"/>
        <v>0</v>
      </c>
      <c r="BW26" s="19">
        <f t="shared" si="2"/>
        <v>0</v>
      </c>
      <c r="BX26" s="19">
        <f t="shared" si="2"/>
        <v>0</v>
      </c>
      <c r="BY26" s="19">
        <f t="shared" si="2"/>
        <v>0</v>
      </c>
      <c r="BZ26" s="19">
        <f t="shared" si="2"/>
        <v>0</v>
      </c>
      <c r="CA26" s="19">
        <f t="shared" si="2"/>
        <v>0</v>
      </c>
      <c r="CB26" s="19">
        <f t="shared" si="2"/>
        <v>0</v>
      </c>
      <c r="CC26" s="19">
        <f t="shared" si="2"/>
        <v>0</v>
      </c>
      <c r="CD26" s="19">
        <f t="shared" si="2"/>
        <v>0</v>
      </c>
      <c r="CE26" s="19">
        <f t="shared" si="2"/>
        <v>0</v>
      </c>
      <c r="CF26" s="19">
        <f t="shared" si="2"/>
        <v>0</v>
      </c>
      <c r="CG26" s="19">
        <f t="shared" si="2"/>
        <v>0</v>
      </c>
      <c r="CH26" s="19">
        <f t="shared" si="2"/>
        <v>0</v>
      </c>
      <c r="CI26" s="19">
        <f t="shared" si="2"/>
        <v>0</v>
      </c>
      <c r="CJ26" s="19">
        <f t="shared" si="2"/>
        <v>0</v>
      </c>
      <c r="CK26" s="19">
        <f t="shared" si="2"/>
        <v>0</v>
      </c>
      <c r="CL26" s="13"/>
    </row>
    <row r="27" spans="1:90" ht="18.75" hidden="1" customHeight="1">
      <c r="A27" s="15"/>
      <c r="B27" s="16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3"/>
    </row>
    <row r="28" spans="1:90" ht="18.75" hidden="1" customHeight="1">
      <c r="A28" s="15"/>
      <c r="B28" s="16"/>
      <c r="C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3"/>
    </row>
    <row r="29" spans="1:90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3"/>
    </row>
    <row r="30" spans="1:90" ht="18.75" customHeight="1">
      <c r="A30" s="53" t="s">
        <v>101</v>
      </c>
      <c r="B30" s="54"/>
      <c r="C30" s="54"/>
      <c r="D30" s="55"/>
      <c r="E30" s="18"/>
      <c r="F30" s="20">
        <f>+F26*$A$4/1000</f>
        <v>0</v>
      </c>
      <c r="G30" s="20">
        <f t="shared" ref="G30:BR30" si="3">+G26*$A$4/1000</f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4">
        <f>+T26*$A$4/55</f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0</v>
      </c>
      <c r="AD30" s="20">
        <f t="shared" si="3"/>
        <v>0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20">
        <f t="shared" si="3"/>
        <v>0</v>
      </c>
      <c r="AO30" s="20">
        <f t="shared" si="3"/>
        <v>0</v>
      </c>
      <c r="AP30" s="20">
        <f t="shared" si="3"/>
        <v>0</v>
      </c>
      <c r="AQ30" s="20">
        <f t="shared" si="3"/>
        <v>0</v>
      </c>
      <c r="AR30" s="20">
        <f t="shared" si="3"/>
        <v>0</v>
      </c>
      <c r="AS30" s="20">
        <f t="shared" si="3"/>
        <v>0</v>
      </c>
      <c r="AT30" s="20">
        <f t="shared" si="3"/>
        <v>0</v>
      </c>
      <c r="AU30" s="20">
        <f t="shared" si="3"/>
        <v>0</v>
      </c>
      <c r="AV30" s="20">
        <f t="shared" si="3"/>
        <v>0</v>
      </c>
      <c r="AW30" s="20">
        <f t="shared" si="3"/>
        <v>0</v>
      </c>
      <c r="AX30" s="20">
        <f t="shared" si="3"/>
        <v>0</v>
      </c>
      <c r="AY30" s="20">
        <f t="shared" si="3"/>
        <v>0</v>
      </c>
      <c r="AZ30" s="20">
        <f t="shared" si="3"/>
        <v>0</v>
      </c>
      <c r="BA30" s="20">
        <f t="shared" si="3"/>
        <v>0</v>
      </c>
      <c r="BB30" s="20">
        <f t="shared" si="3"/>
        <v>0</v>
      </c>
      <c r="BC30" s="20">
        <f t="shared" si="3"/>
        <v>0</v>
      </c>
      <c r="BD30" s="20">
        <f t="shared" si="3"/>
        <v>0</v>
      </c>
      <c r="BE30" s="20">
        <f t="shared" si="3"/>
        <v>0</v>
      </c>
      <c r="BF30" s="20">
        <f t="shared" si="3"/>
        <v>0</v>
      </c>
      <c r="BG30" s="20">
        <f t="shared" si="3"/>
        <v>0</v>
      </c>
      <c r="BH30" s="20">
        <f t="shared" si="3"/>
        <v>0</v>
      </c>
      <c r="BI30" s="20">
        <f t="shared" si="3"/>
        <v>0</v>
      </c>
      <c r="BJ30" s="20">
        <f t="shared" si="3"/>
        <v>0</v>
      </c>
      <c r="BK30" s="20">
        <f t="shared" si="3"/>
        <v>0</v>
      </c>
      <c r="BL30" s="20">
        <f t="shared" si="3"/>
        <v>0</v>
      </c>
      <c r="BM30" s="20">
        <f t="shared" si="3"/>
        <v>0</v>
      </c>
      <c r="BN30" s="20">
        <f t="shared" si="3"/>
        <v>0</v>
      </c>
      <c r="BO30" s="20">
        <f t="shared" si="3"/>
        <v>0</v>
      </c>
      <c r="BP30" s="20">
        <f t="shared" si="3"/>
        <v>0</v>
      </c>
      <c r="BQ30" s="20">
        <f t="shared" si="3"/>
        <v>0</v>
      </c>
      <c r="BR30" s="20">
        <f t="shared" si="3"/>
        <v>0</v>
      </c>
      <c r="BS30" s="20">
        <f t="shared" ref="BS30:CK30" si="4">+BS26*$A$4/1000</f>
        <v>0</v>
      </c>
      <c r="BT30" s="20">
        <f t="shared" si="4"/>
        <v>0</v>
      </c>
      <c r="BU30" s="20">
        <f t="shared" si="4"/>
        <v>0</v>
      </c>
      <c r="BV30" s="20">
        <f t="shared" si="4"/>
        <v>0</v>
      </c>
      <c r="BW30" s="20">
        <f t="shared" si="4"/>
        <v>0</v>
      </c>
      <c r="BX30" s="20">
        <f t="shared" si="4"/>
        <v>0</v>
      </c>
      <c r="BY30" s="20">
        <f t="shared" si="4"/>
        <v>0</v>
      </c>
      <c r="BZ30" s="20">
        <f t="shared" si="4"/>
        <v>0</v>
      </c>
      <c r="CA30" s="20">
        <f t="shared" si="4"/>
        <v>0</v>
      </c>
      <c r="CB30" s="20">
        <f t="shared" si="4"/>
        <v>0</v>
      </c>
      <c r="CC30" s="19">
        <f t="shared" si="4"/>
        <v>0</v>
      </c>
      <c r="CD30" s="19">
        <f t="shared" si="4"/>
        <v>0</v>
      </c>
      <c r="CE30" s="19">
        <f t="shared" si="4"/>
        <v>0</v>
      </c>
      <c r="CF30" s="19">
        <f t="shared" si="4"/>
        <v>0</v>
      </c>
      <c r="CG30" s="19">
        <f t="shared" si="4"/>
        <v>0</v>
      </c>
      <c r="CH30" s="19">
        <f t="shared" si="4"/>
        <v>0</v>
      </c>
      <c r="CI30" s="19">
        <f t="shared" si="4"/>
        <v>0</v>
      </c>
      <c r="CJ30" s="19">
        <f t="shared" si="4"/>
        <v>0</v>
      </c>
      <c r="CK30" s="19">
        <f t="shared" si="4"/>
        <v>0</v>
      </c>
      <c r="CL30" s="13"/>
    </row>
    <row r="31" spans="1:9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21"/>
    </row>
    <row r="32" spans="1:90">
      <c r="A32" s="22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31" t="s">
        <v>103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</row>
    <row r="36" ht="20.25" customHeight="1"/>
  </sheetData>
  <autoFilter ref="A5:CL30" xr:uid="{00000000-0009-0000-0000-000007000000}"/>
  <mergeCells count="65">
    <mergeCell ref="A10:A17"/>
    <mergeCell ref="A18:A21"/>
    <mergeCell ref="A22:A25"/>
    <mergeCell ref="B25:C25"/>
    <mergeCell ref="B14:C14"/>
    <mergeCell ref="B17:C17"/>
    <mergeCell ref="B22:C22"/>
    <mergeCell ref="B11:C11"/>
    <mergeCell ref="B10:C10"/>
    <mergeCell ref="D25:E25"/>
    <mergeCell ref="A26:D26"/>
    <mergeCell ref="A30:D30"/>
    <mergeCell ref="F32:AE32"/>
    <mergeCell ref="AF32:CL32"/>
    <mergeCell ref="D14:E14"/>
    <mergeCell ref="B15:C15"/>
    <mergeCell ref="D15:E15"/>
    <mergeCell ref="B16:C16"/>
    <mergeCell ref="D16:E16"/>
    <mergeCell ref="D17:E17"/>
    <mergeCell ref="B20:C20"/>
    <mergeCell ref="D20:E20"/>
    <mergeCell ref="B21:C21"/>
    <mergeCell ref="D21:E21"/>
    <mergeCell ref="B18:B19"/>
    <mergeCell ref="D18:E19"/>
    <mergeCell ref="D22:E22"/>
    <mergeCell ref="B23:C23"/>
    <mergeCell ref="D23:E23"/>
    <mergeCell ref="B24:C24"/>
    <mergeCell ref="D24:E24"/>
    <mergeCell ref="A5:C5"/>
    <mergeCell ref="D5:E5"/>
    <mergeCell ref="B6:C6"/>
    <mergeCell ref="D6:E6"/>
    <mergeCell ref="B7:C7"/>
    <mergeCell ref="D7:E7"/>
    <mergeCell ref="A6:A9"/>
    <mergeCell ref="B8:C8"/>
    <mergeCell ref="D8:E8"/>
    <mergeCell ref="B9:C9"/>
    <mergeCell ref="D9:E9"/>
    <mergeCell ref="D10:E10"/>
    <mergeCell ref="D11:E11"/>
    <mergeCell ref="B12:C12"/>
    <mergeCell ref="D12:E12"/>
    <mergeCell ref="B13:C13"/>
    <mergeCell ref="D13:E13"/>
    <mergeCell ref="A1:B1"/>
    <mergeCell ref="F1:U1"/>
    <mergeCell ref="V1:CL1"/>
    <mergeCell ref="F2:U2"/>
    <mergeCell ref="V2:CL2"/>
    <mergeCell ref="V3:CL3"/>
    <mergeCell ref="A4:B4"/>
    <mergeCell ref="D4:E4"/>
    <mergeCell ref="F4:K4"/>
    <mergeCell ref="L4:P4"/>
    <mergeCell ref="Q4:U4"/>
    <mergeCell ref="V4:BK4"/>
    <mergeCell ref="A3:B3"/>
    <mergeCell ref="D3:E3"/>
    <mergeCell ref="F3:K3"/>
    <mergeCell ref="L3:P3"/>
    <mergeCell ref="Q3:U3"/>
  </mergeCells>
  <pageMargins left="0" right="0" top="0.78740157480314998" bottom="0.98425196850393704" header="0" footer="0"/>
  <pageSetup paperSize="9" scale="86" fitToHeight="2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6">
    <pageSetUpPr fitToPage="1"/>
  </sheetPr>
  <dimension ref="A1:CL35"/>
  <sheetViews>
    <sheetView view="pageBreakPreview" zoomScaleNormal="85" zoomScaleSheetLayoutView="100" workbookViewId="0">
      <pane xSplit="5" ySplit="5" topLeftCell="F6" activePane="bottomRight" state="frozen"/>
      <selection pane="topRight"/>
      <selection pane="bottomLeft"/>
      <selection pane="bottomRight" activeCell="V2" sqref="V2:CL2"/>
    </sheetView>
  </sheetViews>
  <sheetFormatPr defaultColWidth="9.140625" defaultRowHeight="11.25"/>
  <cols>
    <col min="1" max="1" width="8.5703125" style="1" customWidth="1"/>
    <col min="2" max="2" width="11.7109375" style="1" customWidth="1"/>
    <col min="3" max="3" width="8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customWidth="1"/>
    <col min="8" max="8" width="5.5703125" style="1" customWidth="1"/>
    <col min="9" max="9" width="5.28515625" style="1" hidden="1" customWidth="1"/>
    <col min="10" max="10" width="5.28515625" style="1" customWidth="1"/>
    <col min="11" max="11" width="5.85546875" style="1" customWidth="1"/>
    <col min="12" max="12" width="5.7109375" style="1" hidden="1" customWidth="1"/>
    <col min="13" max="13" width="6" style="1" customWidth="1"/>
    <col min="14" max="14" width="5.140625" style="1" customWidth="1"/>
    <col min="15" max="15" width="5.7109375" style="1" customWidth="1"/>
    <col min="16" max="16" width="4.7109375" style="1" customWidth="1"/>
    <col min="17" max="17" width="6" style="1" customWidth="1"/>
    <col min="18" max="19" width="5.5703125" style="1" customWidth="1"/>
    <col min="20" max="20" width="5.140625" style="1" customWidth="1"/>
    <col min="21" max="21" width="5.7109375" style="1" customWidth="1"/>
    <col min="22" max="22" width="4.85546875" style="1" hidden="1" customWidth="1"/>
    <col min="23" max="23" width="5.140625" style="1" customWidth="1"/>
    <col min="24" max="24" width="5.28515625" style="1" hidden="1" customWidth="1"/>
    <col min="25" max="25" width="5.85546875" style="1" hidden="1" customWidth="1"/>
    <col min="26" max="26" width="5.5703125" style="1" customWidth="1"/>
    <col min="27" max="27" width="6.42578125" style="1" hidden="1" customWidth="1"/>
    <col min="28" max="28" width="5.5703125" style="1" customWidth="1"/>
    <col min="29" max="31" width="4.85546875" style="1" hidden="1" customWidth="1"/>
    <col min="32" max="32" width="5.7109375" style="1" hidden="1" customWidth="1"/>
    <col min="33" max="33" width="5.28515625" style="1" customWidth="1"/>
    <col min="34" max="34" width="5.42578125" style="1" hidden="1" customWidth="1"/>
    <col min="35" max="36" width="5.28515625" style="1" hidden="1" customWidth="1"/>
    <col min="37" max="37" width="4.85546875" style="1" hidden="1" customWidth="1"/>
    <col min="38" max="38" width="5.85546875" style="1" hidden="1" customWidth="1"/>
    <col min="39" max="40" width="4.85546875" style="1" hidden="1" customWidth="1"/>
    <col min="41" max="41" width="4.7109375" style="1" hidden="1" customWidth="1"/>
    <col min="42" max="42" width="5.42578125" style="1" hidden="1" customWidth="1"/>
    <col min="43" max="43" width="5.42578125" style="1" customWidth="1"/>
    <col min="44" max="44" width="6.140625" style="1" hidden="1" customWidth="1"/>
    <col min="45" max="45" width="4.85546875" style="1" hidden="1" customWidth="1"/>
    <col min="46" max="46" width="4.85546875" style="1" customWidth="1"/>
    <col min="47" max="47" width="5.42578125" style="1" customWidth="1"/>
    <col min="48" max="48" width="5.140625" style="1" customWidth="1"/>
    <col min="49" max="49" width="5.28515625" style="1" hidden="1" customWidth="1"/>
    <col min="50" max="51" width="5.42578125" style="1" hidden="1" customWidth="1"/>
    <col min="52" max="52" width="4.7109375" style="1" customWidth="1"/>
    <col min="53" max="53" width="5.7109375" style="1" customWidth="1"/>
    <col min="54" max="61" width="4.85546875" style="1" hidden="1" customWidth="1"/>
    <col min="62" max="62" width="4.85546875" style="1" customWidth="1"/>
    <col min="63" max="63" width="4.85546875" style="1" hidden="1" customWidth="1"/>
    <col min="64" max="64" width="5.85546875" style="1" hidden="1" customWidth="1"/>
    <col min="65" max="65" width="6" style="1" hidden="1" customWidth="1"/>
    <col min="66" max="66" width="4.85546875" style="1" hidden="1" customWidth="1"/>
    <col min="67" max="67" width="5.42578125" style="1" customWidth="1"/>
    <col min="68" max="68" width="4.85546875" style="1" customWidth="1"/>
    <col min="69" max="69" width="5.28515625" style="1" customWidth="1"/>
    <col min="70" max="70" width="6.140625" style="1" hidden="1" customWidth="1"/>
    <col min="71" max="71" width="4.85546875" style="1" hidden="1" customWidth="1"/>
    <col min="72" max="72" width="5.42578125" style="1" customWidth="1"/>
    <col min="73" max="73" width="5.140625" style="1" hidden="1" customWidth="1"/>
    <col min="74" max="74" width="5" style="1" customWidth="1"/>
    <col min="75" max="77" width="4.85546875" style="1" hidden="1" customWidth="1"/>
    <col min="78" max="78" width="5.42578125" style="1" hidden="1" customWidth="1"/>
    <col min="79" max="79" width="5.85546875" style="1" hidden="1" customWidth="1"/>
    <col min="80" max="80" width="5" style="1" hidden="1" customWidth="1"/>
    <col min="81" max="81" width="4.42578125" style="1" customWidth="1"/>
    <col min="82" max="89" width="4.85546875" style="1" hidden="1" customWidth="1"/>
    <col min="90" max="90" width="6.7109375" style="1" customWidth="1"/>
    <col min="91" max="16384" width="9.140625" style="1"/>
  </cols>
  <sheetData>
    <row r="1" spans="1:90" ht="15.75">
      <c r="A1" s="34">
        <v>46273</v>
      </c>
      <c r="B1" s="34"/>
      <c r="C1" s="2"/>
      <c r="E1" s="3"/>
      <c r="F1" s="35" t="str">
        <f>'1'!F1:U1</f>
        <v xml:space="preserve"> -МТТ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</row>
    <row r="2" spans="1:90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</row>
    <row r="3" spans="1:90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0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</row>
    <row r="5" spans="1:90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71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/>
      <c r="CH5" s="7"/>
      <c r="CI5" s="7"/>
      <c r="CJ5" s="7"/>
      <c r="CK5" s="7"/>
      <c r="CL5" s="10" t="s">
        <v>87</v>
      </c>
    </row>
    <row r="6" spans="1:90" ht="24.75" customHeight="1">
      <c r="A6" s="47" t="s">
        <v>88</v>
      </c>
      <c r="B6" s="45" t="s">
        <v>144</v>
      </c>
      <c r="C6" s="46"/>
      <c r="D6" s="37">
        <v>150</v>
      </c>
      <c r="E6" s="38"/>
      <c r="F6" s="12"/>
      <c r="G6" s="12"/>
      <c r="H6" s="12"/>
      <c r="I6" s="12"/>
      <c r="J6" s="12"/>
      <c r="K6" s="12">
        <v>3</v>
      </c>
      <c r="L6" s="12"/>
      <c r="M6" s="12"/>
      <c r="N6" s="12"/>
      <c r="O6" s="12"/>
      <c r="P6" s="12">
        <v>0.9</v>
      </c>
      <c r="Q6" s="12">
        <v>2</v>
      </c>
      <c r="R6" s="12"/>
      <c r="S6" s="12"/>
      <c r="T6" s="12"/>
      <c r="U6" s="12"/>
      <c r="V6" s="12"/>
      <c r="W6" s="12">
        <v>60</v>
      </c>
      <c r="X6" s="12"/>
      <c r="Y6" s="12"/>
      <c r="Z6" s="12"/>
      <c r="AA6" s="12"/>
      <c r="AB6" s="12"/>
      <c r="AC6" s="12"/>
      <c r="AD6" s="12"/>
      <c r="AE6" s="12"/>
      <c r="AF6" s="12"/>
      <c r="AG6" s="12">
        <v>22.5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3">
        <f t="shared" ref="CL6:CL25" si="0">SUM(F6:CK6)</f>
        <v>88.4</v>
      </c>
    </row>
    <row r="7" spans="1:90" ht="24.75" customHeight="1">
      <c r="A7" s="48"/>
      <c r="B7" s="28" t="s">
        <v>118</v>
      </c>
      <c r="C7" s="29"/>
      <c r="D7" s="37">
        <v>150</v>
      </c>
      <c r="E7" s="38"/>
      <c r="F7" s="12"/>
      <c r="G7" s="12">
        <v>0.2</v>
      </c>
      <c r="H7" s="12"/>
      <c r="I7" s="12"/>
      <c r="J7" s="12"/>
      <c r="K7" s="12">
        <v>6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>
        <v>100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3">
        <f t="shared" si="0"/>
        <v>106.2</v>
      </c>
    </row>
    <row r="8" spans="1:90" ht="24.75" customHeight="1">
      <c r="A8" s="48"/>
      <c r="B8" s="28" t="s">
        <v>89</v>
      </c>
      <c r="C8" s="29"/>
      <c r="D8" s="37">
        <v>50</v>
      </c>
      <c r="E8" s="38"/>
      <c r="F8" s="12">
        <v>40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10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3">
        <f t="shared" si="0"/>
        <v>50</v>
      </c>
    </row>
    <row r="9" spans="1:90" ht="24.75" hidden="1" customHeight="1">
      <c r="A9" s="49"/>
      <c r="B9" s="28"/>
      <c r="C9" s="29"/>
      <c r="D9" s="37"/>
      <c r="E9" s="3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3">
        <f t="shared" si="0"/>
        <v>0</v>
      </c>
    </row>
    <row r="10" spans="1:90" ht="24.75" customHeight="1">
      <c r="A10" s="47" t="s">
        <v>90</v>
      </c>
      <c r="B10" s="45" t="s">
        <v>145</v>
      </c>
      <c r="C10" s="46"/>
      <c r="D10" s="37" t="s">
        <v>91</v>
      </c>
      <c r="E10" s="38"/>
      <c r="F10" s="12"/>
      <c r="G10" s="12"/>
      <c r="H10" s="12">
        <v>23.1</v>
      </c>
      <c r="I10" s="12"/>
      <c r="J10" s="12">
        <v>3</v>
      </c>
      <c r="K10" s="12"/>
      <c r="L10" s="12"/>
      <c r="M10" s="12">
        <v>21.3</v>
      </c>
      <c r="N10" s="12">
        <v>7.5</v>
      </c>
      <c r="O10" s="12">
        <v>6</v>
      </c>
      <c r="P10" s="12">
        <v>0.5</v>
      </c>
      <c r="Q10" s="12"/>
      <c r="R10" s="12"/>
      <c r="S10" s="12">
        <v>7.1</v>
      </c>
      <c r="T10" s="12"/>
      <c r="U10" s="12"/>
      <c r="V10" s="12"/>
      <c r="W10" s="12"/>
      <c r="X10" s="12"/>
      <c r="Y10" s="12"/>
      <c r="Z10" s="12">
        <v>1.2</v>
      </c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>
        <v>1.8</v>
      </c>
      <c r="AU10" s="12"/>
      <c r="AV10" s="12">
        <v>21.3</v>
      </c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3">
        <f t="shared" si="0"/>
        <v>92.8</v>
      </c>
    </row>
    <row r="11" spans="1:90" ht="24.75" customHeight="1">
      <c r="A11" s="48"/>
      <c r="B11" s="61" t="s">
        <v>146</v>
      </c>
      <c r="C11" s="62"/>
      <c r="D11" s="39">
        <v>180</v>
      </c>
      <c r="E11" s="40"/>
      <c r="F11" s="12"/>
      <c r="G11" s="12"/>
      <c r="H11" s="12">
        <v>54.3</v>
      </c>
      <c r="I11" s="12"/>
      <c r="J11" s="12">
        <v>8</v>
      </c>
      <c r="K11" s="12"/>
      <c r="L11" s="12"/>
      <c r="M11" s="12">
        <v>25</v>
      </c>
      <c r="N11" s="12">
        <v>25</v>
      </c>
      <c r="O11" s="12">
        <v>17.899999999999999</v>
      </c>
      <c r="P11" s="12">
        <v>1</v>
      </c>
      <c r="Q11" s="12"/>
      <c r="R11" s="12"/>
      <c r="S11" s="12"/>
      <c r="T11" s="12"/>
      <c r="U11" s="12"/>
      <c r="V11" s="12"/>
      <c r="W11" s="12"/>
      <c r="X11" s="12"/>
      <c r="Y11" s="12"/>
      <c r="Z11" s="12">
        <v>2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>
        <v>40</v>
      </c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3">
        <f t="shared" si="0"/>
        <v>173.2</v>
      </c>
    </row>
    <row r="12" spans="1:90" ht="24.75" customHeight="1">
      <c r="A12" s="48"/>
      <c r="B12" s="41" t="s">
        <v>147</v>
      </c>
      <c r="C12" s="41"/>
      <c r="D12" s="39">
        <v>45</v>
      </c>
      <c r="E12" s="40"/>
      <c r="F12" s="12"/>
      <c r="G12" s="12"/>
      <c r="H12" s="12"/>
      <c r="I12" s="12"/>
      <c r="J12" s="12">
        <v>1</v>
      </c>
      <c r="K12" s="12">
        <v>0.5</v>
      </c>
      <c r="L12" s="12"/>
      <c r="M12" s="12"/>
      <c r="N12" s="12">
        <v>8.8000000000000007</v>
      </c>
      <c r="O12" s="12"/>
      <c r="P12" s="12"/>
      <c r="Q12" s="12"/>
      <c r="R12" s="12">
        <v>15.3</v>
      </c>
      <c r="S12" s="12">
        <v>14.1</v>
      </c>
      <c r="T12" s="12"/>
      <c r="U12" s="12"/>
      <c r="V12" s="12"/>
      <c r="W12" s="12"/>
      <c r="X12" s="12"/>
      <c r="Y12" s="12"/>
      <c r="Z12" s="12"/>
      <c r="AA12" s="12"/>
      <c r="AB12" s="12">
        <v>17</v>
      </c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>
        <v>1.7</v>
      </c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3">
        <f t="shared" si="0"/>
        <v>58.400000000000006</v>
      </c>
    </row>
    <row r="13" spans="1:90" ht="24.75" customHeight="1">
      <c r="A13" s="48"/>
      <c r="B13" s="41" t="s">
        <v>148</v>
      </c>
      <c r="C13" s="41"/>
      <c r="D13" s="39">
        <v>150</v>
      </c>
      <c r="E13" s="40"/>
      <c r="F13" s="12"/>
      <c r="G13" s="12"/>
      <c r="H13" s="12"/>
      <c r="I13" s="12"/>
      <c r="J13" s="12"/>
      <c r="K13" s="12">
        <v>8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>
        <v>3.8</v>
      </c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>
        <v>3.8</v>
      </c>
      <c r="BU13" s="12"/>
      <c r="BV13" s="12">
        <v>3.8</v>
      </c>
      <c r="BW13" s="12"/>
      <c r="BX13" s="12"/>
      <c r="BY13" s="12"/>
      <c r="BZ13" s="12"/>
      <c r="CA13" s="12"/>
      <c r="CB13" s="12"/>
      <c r="CC13" s="12">
        <v>3.8</v>
      </c>
      <c r="CD13" s="12"/>
      <c r="CE13" s="12"/>
      <c r="CF13" s="12"/>
      <c r="CG13" s="12"/>
      <c r="CH13" s="12"/>
      <c r="CI13" s="12"/>
      <c r="CJ13" s="12"/>
      <c r="CK13" s="12"/>
      <c r="CL13" s="13">
        <f t="shared" si="0"/>
        <v>23.200000000000003</v>
      </c>
    </row>
    <row r="14" spans="1:90" ht="24.75" customHeight="1">
      <c r="A14" s="48"/>
      <c r="B14" s="28" t="s">
        <v>94</v>
      </c>
      <c r="C14" s="29"/>
      <c r="D14" s="37">
        <v>60</v>
      </c>
      <c r="E14" s="38"/>
      <c r="F14" s="12">
        <v>60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3">
        <f t="shared" si="0"/>
        <v>60</v>
      </c>
    </row>
    <row r="15" spans="1:90" ht="24.75" hidden="1" customHeight="1">
      <c r="A15" s="48"/>
      <c r="B15" s="28"/>
      <c r="C15" s="29"/>
      <c r="D15" s="37"/>
      <c r="E15" s="38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3">
        <f t="shared" si="0"/>
        <v>0</v>
      </c>
    </row>
    <row r="16" spans="1:90" ht="24.75" hidden="1" customHeight="1">
      <c r="A16" s="48"/>
      <c r="B16" s="28"/>
      <c r="C16" s="29"/>
      <c r="D16" s="37"/>
      <c r="E16" s="3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3">
        <f t="shared" si="0"/>
        <v>0</v>
      </c>
    </row>
    <row r="17" spans="1:90" ht="24.75" hidden="1" customHeight="1">
      <c r="A17" s="49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3">
        <f t="shared" si="0"/>
        <v>0</v>
      </c>
    </row>
    <row r="18" spans="1:90" ht="24.75" customHeight="1">
      <c r="A18" s="57" t="s">
        <v>95</v>
      </c>
      <c r="B18" s="41" t="s">
        <v>149</v>
      </c>
      <c r="C18" s="41"/>
      <c r="D18" s="52">
        <v>60</v>
      </c>
      <c r="E18" s="52"/>
      <c r="F18" s="12"/>
      <c r="G18" s="12"/>
      <c r="H18" s="12"/>
      <c r="I18" s="12"/>
      <c r="J18" s="12"/>
      <c r="K18" s="12">
        <v>10</v>
      </c>
      <c r="L18" s="12"/>
      <c r="M18" s="12"/>
      <c r="N18" s="12"/>
      <c r="O18" s="12"/>
      <c r="P18" s="12"/>
      <c r="Q18" s="12">
        <v>15.5</v>
      </c>
      <c r="R18" s="12"/>
      <c r="S18" s="12"/>
      <c r="T18" s="12">
        <v>19.8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>
        <v>2.2999999999999998</v>
      </c>
      <c r="AV18" s="12"/>
      <c r="AW18" s="12"/>
      <c r="AX18" s="12"/>
      <c r="AY18" s="12"/>
      <c r="AZ18" s="12">
        <v>17</v>
      </c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>
        <v>1.2</v>
      </c>
      <c r="BP18" s="12">
        <v>0.6</v>
      </c>
      <c r="BQ18" s="12">
        <v>0.2</v>
      </c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3">
        <f t="shared" si="0"/>
        <v>66.599999999999994</v>
      </c>
    </row>
    <row r="19" spans="1:90" ht="24.75" customHeight="1">
      <c r="A19" s="58"/>
      <c r="B19" s="41" t="s">
        <v>99</v>
      </c>
      <c r="C19" s="41"/>
      <c r="D19" s="52">
        <v>150</v>
      </c>
      <c r="E19" s="5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>
        <v>150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3">
        <f t="shared" si="0"/>
        <v>150</v>
      </c>
    </row>
    <row r="20" spans="1:90" ht="24.75" hidden="1" customHeight="1">
      <c r="A20" s="58"/>
      <c r="B20" s="50"/>
      <c r="C20" s="51"/>
      <c r="D20" s="52"/>
      <c r="E20" s="5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3">
        <f t="shared" si="0"/>
        <v>0</v>
      </c>
    </row>
    <row r="21" spans="1:90" ht="24" hidden="1" customHeight="1">
      <c r="A21" s="59"/>
      <c r="B21" s="45"/>
      <c r="C21" s="46"/>
      <c r="D21" s="37"/>
      <c r="E21" s="3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3">
        <f t="shared" si="0"/>
        <v>0</v>
      </c>
    </row>
    <row r="22" spans="1:90" ht="24.75" hidden="1" customHeight="1">
      <c r="A22" s="60"/>
      <c r="B22" s="28"/>
      <c r="C22" s="29"/>
      <c r="D22" s="52"/>
      <c r="E22" s="5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3">
        <f t="shared" si="0"/>
        <v>0</v>
      </c>
    </row>
    <row r="23" spans="1:90" ht="24.75" hidden="1" customHeight="1">
      <c r="A23" s="60"/>
      <c r="B23" s="28"/>
      <c r="C23" s="29"/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3">
        <f t="shared" si="0"/>
        <v>0</v>
      </c>
    </row>
    <row r="24" spans="1:90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3">
        <f t="shared" si="0"/>
        <v>0</v>
      </c>
    </row>
    <row r="25" spans="1:90" ht="0.75" customHeight="1">
      <c r="A25" s="60"/>
      <c r="B25" s="33"/>
      <c r="C25" s="33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3">
        <f t="shared" si="0"/>
        <v>0</v>
      </c>
    </row>
    <row r="26" spans="1:90" ht="18.75" customHeight="1">
      <c r="A26" s="53" t="s">
        <v>100</v>
      </c>
      <c r="B26" s="54"/>
      <c r="C26" s="54"/>
      <c r="D26" s="55"/>
      <c r="E26" s="18"/>
      <c r="F26" s="19">
        <f t="shared" ref="F26:BQ26" si="1">SUM(F6:F21)</f>
        <v>100</v>
      </c>
      <c r="G26" s="19">
        <f t="shared" si="1"/>
        <v>0.2</v>
      </c>
      <c r="H26" s="19">
        <f t="shared" si="1"/>
        <v>77.400000000000006</v>
      </c>
      <c r="I26" s="19">
        <f t="shared" si="1"/>
        <v>0</v>
      </c>
      <c r="J26" s="19">
        <f t="shared" si="1"/>
        <v>12</v>
      </c>
      <c r="K26" s="19">
        <f t="shared" si="1"/>
        <v>27.5</v>
      </c>
      <c r="L26" s="19">
        <f t="shared" si="1"/>
        <v>0</v>
      </c>
      <c r="M26" s="19">
        <f t="shared" si="1"/>
        <v>46.3</v>
      </c>
      <c r="N26" s="19">
        <f t="shared" si="1"/>
        <v>41.3</v>
      </c>
      <c r="O26" s="19">
        <f t="shared" si="1"/>
        <v>23.9</v>
      </c>
      <c r="P26" s="19">
        <f t="shared" si="1"/>
        <v>2.4</v>
      </c>
      <c r="Q26" s="19">
        <f t="shared" si="1"/>
        <v>27.5</v>
      </c>
      <c r="R26" s="19">
        <f t="shared" si="1"/>
        <v>15.3</v>
      </c>
      <c r="S26" s="19">
        <f t="shared" si="1"/>
        <v>21.2</v>
      </c>
      <c r="T26" s="19">
        <f t="shared" si="1"/>
        <v>19.8</v>
      </c>
      <c r="U26" s="19">
        <f t="shared" si="1"/>
        <v>150</v>
      </c>
      <c r="V26" s="19">
        <f t="shared" si="1"/>
        <v>0</v>
      </c>
      <c r="W26" s="19">
        <f t="shared" si="1"/>
        <v>160</v>
      </c>
      <c r="X26" s="19">
        <f t="shared" si="1"/>
        <v>0</v>
      </c>
      <c r="Y26" s="19">
        <f t="shared" si="1"/>
        <v>0</v>
      </c>
      <c r="Z26" s="19">
        <f t="shared" si="1"/>
        <v>3.2</v>
      </c>
      <c r="AA26" s="19">
        <f t="shared" si="1"/>
        <v>0</v>
      </c>
      <c r="AB26" s="19">
        <f t="shared" si="1"/>
        <v>17</v>
      </c>
      <c r="AC26" s="19">
        <f t="shared" si="1"/>
        <v>0</v>
      </c>
      <c r="AD26" s="19">
        <f t="shared" si="1"/>
        <v>0</v>
      </c>
      <c r="AE26" s="19">
        <f t="shared" si="1"/>
        <v>0</v>
      </c>
      <c r="AF26" s="19">
        <f t="shared" si="1"/>
        <v>0</v>
      </c>
      <c r="AG26" s="19">
        <f t="shared" si="1"/>
        <v>22.5</v>
      </c>
      <c r="AH26" s="19">
        <f t="shared" si="1"/>
        <v>0</v>
      </c>
      <c r="AI26" s="19">
        <f t="shared" si="1"/>
        <v>0</v>
      </c>
      <c r="AJ26" s="19">
        <f t="shared" si="1"/>
        <v>0</v>
      </c>
      <c r="AK26" s="19">
        <f t="shared" si="1"/>
        <v>0</v>
      </c>
      <c r="AL26" s="19">
        <f t="shared" si="1"/>
        <v>0</v>
      </c>
      <c r="AM26" s="19">
        <f t="shared" si="1"/>
        <v>0</v>
      </c>
      <c r="AN26" s="19">
        <f t="shared" si="1"/>
        <v>0</v>
      </c>
      <c r="AO26" s="19">
        <f t="shared" si="1"/>
        <v>0</v>
      </c>
      <c r="AP26" s="19">
        <f t="shared" si="1"/>
        <v>0</v>
      </c>
      <c r="AQ26" s="19">
        <f t="shared" si="1"/>
        <v>3.8</v>
      </c>
      <c r="AR26" s="19">
        <f t="shared" si="1"/>
        <v>0</v>
      </c>
      <c r="AS26" s="19">
        <f t="shared" si="1"/>
        <v>0</v>
      </c>
      <c r="AT26" s="19">
        <f t="shared" si="1"/>
        <v>1.8</v>
      </c>
      <c r="AU26" s="19">
        <f t="shared" si="1"/>
        <v>2.2999999999999998</v>
      </c>
      <c r="AV26" s="19">
        <f t="shared" si="1"/>
        <v>21.3</v>
      </c>
      <c r="AW26" s="19">
        <f t="shared" si="1"/>
        <v>0</v>
      </c>
      <c r="AX26" s="19">
        <f t="shared" si="1"/>
        <v>0</v>
      </c>
      <c r="AY26" s="19">
        <f t="shared" si="1"/>
        <v>0</v>
      </c>
      <c r="AZ26" s="19">
        <f t="shared" si="1"/>
        <v>17</v>
      </c>
      <c r="BA26" s="19">
        <f t="shared" si="1"/>
        <v>1.7</v>
      </c>
      <c r="BB26" s="19">
        <f t="shared" si="1"/>
        <v>0</v>
      </c>
      <c r="BC26" s="19">
        <f t="shared" si="1"/>
        <v>0</v>
      </c>
      <c r="BD26" s="19">
        <f t="shared" si="1"/>
        <v>0</v>
      </c>
      <c r="BE26" s="19">
        <f t="shared" si="1"/>
        <v>0</v>
      </c>
      <c r="BF26" s="19">
        <f t="shared" si="1"/>
        <v>0</v>
      </c>
      <c r="BG26" s="19">
        <f t="shared" si="1"/>
        <v>0</v>
      </c>
      <c r="BH26" s="19">
        <f t="shared" si="1"/>
        <v>0</v>
      </c>
      <c r="BI26" s="19">
        <f t="shared" si="1"/>
        <v>0</v>
      </c>
      <c r="BJ26" s="19">
        <f t="shared" si="1"/>
        <v>40</v>
      </c>
      <c r="BK26" s="19">
        <f t="shared" si="1"/>
        <v>0</v>
      </c>
      <c r="BL26" s="19">
        <f t="shared" si="1"/>
        <v>0</v>
      </c>
      <c r="BM26" s="19">
        <f t="shared" si="1"/>
        <v>0</v>
      </c>
      <c r="BN26" s="19">
        <f t="shared" si="1"/>
        <v>0</v>
      </c>
      <c r="BO26" s="19">
        <f t="shared" si="1"/>
        <v>1.2</v>
      </c>
      <c r="BP26" s="19">
        <f t="shared" si="1"/>
        <v>0.6</v>
      </c>
      <c r="BQ26" s="19">
        <f t="shared" si="1"/>
        <v>0.2</v>
      </c>
      <c r="BR26" s="19">
        <f t="shared" ref="BR26:CK26" si="2">SUM(BR6:BR21)</f>
        <v>0</v>
      </c>
      <c r="BS26" s="19">
        <f t="shared" si="2"/>
        <v>0</v>
      </c>
      <c r="BT26" s="19">
        <f t="shared" si="2"/>
        <v>3.8</v>
      </c>
      <c r="BU26" s="19">
        <f t="shared" si="2"/>
        <v>0</v>
      </c>
      <c r="BV26" s="19">
        <f t="shared" si="2"/>
        <v>3.8</v>
      </c>
      <c r="BW26" s="19">
        <f t="shared" si="2"/>
        <v>0</v>
      </c>
      <c r="BX26" s="19">
        <f t="shared" si="2"/>
        <v>0</v>
      </c>
      <c r="BY26" s="19">
        <f t="shared" si="2"/>
        <v>0</v>
      </c>
      <c r="BZ26" s="19">
        <f t="shared" si="2"/>
        <v>0</v>
      </c>
      <c r="CA26" s="19">
        <f t="shared" si="2"/>
        <v>0</v>
      </c>
      <c r="CB26" s="19">
        <f t="shared" si="2"/>
        <v>0</v>
      </c>
      <c r="CC26" s="19">
        <f t="shared" si="2"/>
        <v>3.8</v>
      </c>
      <c r="CD26" s="19">
        <f t="shared" si="2"/>
        <v>0</v>
      </c>
      <c r="CE26" s="19">
        <f t="shared" si="2"/>
        <v>0</v>
      </c>
      <c r="CF26" s="19">
        <f t="shared" si="2"/>
        <v>0</v>
      </c>
      <c r="CG26" s="19">
        <f t="shared" si="2"/>
        <v>0</v>
      </c>
      <c r="CH26" s="19">
        <f t="shared" si="2"/>
        <v>0</v>
      </c>
      <c r="CI26" s="19">
        <f t="shared" si="2"/>
        <v>0</v>
      </c>
      <c r="CJ26" s="19">
        <f t="shared" si="2"/>
        <v>0</v>
      </c>
      <c r="CK26" s="19">
        <f t="shared" si="2"/>
        <v>0</v>
      </c>
      <c r="CL26" s="13"/>
    </row>
    <row r="27" spans="1:90" ht="18.75" hidden="1" customHeight="1">
      <c r="A27" s="15"/>
      <c r="B27" s="16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3"/>
    </row>
    <row r="28" spans="1:90" ht="18.75" hidden="1" customHeight="1">
      <c r="A28" s="15"/>
      <c r="B28" s="16"/>
      <c r="C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3"/>
    </row>
    <row r="29" spans="1:90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3"/>
    </row>
    <row r="30" spans="1:90" ht="18.75" customHeight="1">
      <c r="A30" s="53" t="s">
        <v>101</v>
      </c>
      <c r="B30" s="54"/>
      <c r="C30" s="54"/>
      <c r="D30" s="55"/>
      <c r="E30" s="18"/>
      <c r="F30" s="20">
        <f>+F26*$A$4/1000</f>
        <v>0</v>
      </c>
      <c r="G30" s="20">
        <f t="shared" ref="G30:BR30" si="3">+G26*$A$4/1000</f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4">
        <f>+T26*$A$4/55</f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0</v>
      </c>
      <c r="AD30" s="20">
        <f t="shared" si="3"/>
        <v>0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20">
        <f t="shared" si="3"/>
        <v>0</v>
      </c>
      <c r="AO30" s="20">
        <f t="shared" si="3"/>
        <v>0</v>
      </c>
      <c r="AP30" s="20">
        <f t="shared" si="3"/>
        <v>0</v>
      </c>
      <c r="AQ30" s="20">
        <f t="shared" si="3"/>
        <v>0</v>
      </c>
      <c r="AR30" s="20">
        <f t="shared" si="3"/>
        <v>0</v>
      </c>
      <c r="AS30" s="20">
        <f t="shared" si="3"/>
        <v>0</v>
      </c>
      <c r="AT30" s="20">
        <f t="shared" si="3"/>
        <v>0</v>
      </c>
      <c r="AU30" s="20">
        <f t="shared" si="3"/>
        <v>0</v>
      </c>
      <c r="AV30" s="20">
        <f t="shared" si="3"/>
        <v>0</v>
      </c>
      <c r="AW30" s="20">
        <f t="shared" si="3"/>
        <v>0</v>
      </c>
      <c r="AX30" s="20">
        <f t="shared" si="3"/>
        <v>0</v>
      </c>
      <c r="AY30" s="20">
        <f t="shared" si="3"/>
        <v>0</v>
      </c>
      <c r="AZ30" s="20">
        <f t="shared" si="3"/>
        <v>0</v>
      </c>
      <c r="BA30" s="20">
        <f t="shared" si="3"/>
        <v>0</v>
      </c>
      <c r="BB30" s="20">
        <f t="shared" si="3"/>
        <v>0</v>
      </c>
      <c r="BC30" s="20">
        <f t="shared" si="3"/>
        <v>0</v>
      </c>
      <c r="BD30" s="20">
        <f t="shared" si="3"/>
        <v>0</v>
      </c>
      <c r="BE30" s="20">
        <f t="shared" si="3"/>
        <v>0</v>
      </c>
      <c r="BF30" s="20">
        <f t="shared" si="3"/>
        <v>0</v>
      </c>
      <c r="BG30" s="20">
        <f t="shared" si="3"/>
        <v>0</v>
      </c>
      <c r="BH30" s="20">
        <f t="shared" si="3"/>
        <v>0</v>
      </c>
      <c r="BI30" s="20">
        <f t="shared" si="3"/>
        <v>0</v>
      </c>
      <c r="BJ30" s="20">
        <f t="shared" si="3"/>
        <v>0</v>
      </c>
      <c r="BK30" s="20">
        <f t="shared" si="3"/>
        <v>0</v>
      </c>
      <c r="BL30" s="20">
        <f t="shared" si="3"/>
        <v>0</v>
      </c>
      <c r="BM30" s="20">
        <f t="shared" si="3"/>
        <v>0</v>
      </c>
      <c r="BN30" s="20">
        <f t="shared" si="3"/>
        <v>0</v>
      </c>
      <c r="BO30" s="20">
        <f t="shared" si="3"/>
        <v>0</v>
      </c>
      <c r="BP30" s="20">
        <f t="shared" si="3"/>
        <v>0</v>
      </c>
      <c r="BQ30" s="20">
        <f t="shared" si="3"/>
        <v>0</v>
      </c>
      <c r="BR30" s="20">
        <f t="shared" si="3"/>
        <v>0</v>
      </c>
      <c r="BS30" s="20">
        <f t="shared" ref="BS30:CK30" si="4">+BS26*$A$4/1000</f>
        <v>0</v>
      </c>
      <c r="BT30" s="20">
        <f t="shared" si="4"/>
        <v>0</v>
      </c>
      <c r="BU30" s="20">
        <f t="shared" si="4"/>
        <v>0</v>
      </c>
      <c r="BV30" s="20">
        <f t="shared" si="4"/>
        <v>0</v>
      </c>
      <c r="BW30" s="20">
        <f t="shared" si="4"/>
        <v>0</v>
      </c>
      <c r="BX30" s="20">
        <f t="shared" si="4"/>
        <v>0</v>
      </c>
      <c r="BY30" s="20">
        <f t="shared" si="4"/>
        <v>0</v>
      </c>
      <c r="BZ30" s="20">
        <f t="shared" si="4"/>
        <v>0</v>
      </c>
      <c r="CA30" s="20">
        <f t="shared" si="4"/>
        <v>0</v>
      </c>
      <c r="CB30" s="20">
        <f t="shared" si="4"/>
        <v>0</v>
      </c>
      <c r="CC30" s="19">
        <f t="shared" si="4"/>
        <v>0</v>
      </c>
      <c r="CD30" s="19">
        <f t="shared" si="4"/>
        <v>0</v>
      </c>
      <c r="CE30" s="19">
        <f t="shared" si="4"/>
        <v>0</v>
      </c>
      <c r="CF30" s="19">
        <f t="shared" si="4"/>
        <v>0</v>
      </c>
      <c r="CG30" s="19">
        <f t="shared" si="4"/>
        <v>0</v>
      </c>
      <c r="CH30" s="19">
        <f t="shared" si="4"/>
        <v>0</v>
      </c>
      <c r="CI30" s="19">
        <f t="shared" si="4"/>
        <v>0</v>
      </c>
      <c r="CJ30" s="19">
        <f t="shared" si="4"/>
        <v>0</v>
      </c>
      <c r="CK30" s="19">
        <f t="shared" si="4"/>
        <v>0</v>
      </c>
      <c r="CL30" s="13"/>
    </row>
    <row r="31" spans="1:9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21"/>
    </row>
    <row r="32" spans="1:90">
      <c r="A32" s="22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31" t="s">
        <v>103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</row>
    <row r="35" ht="24" customHeight="1"/>
  </sheetData>
  <mergeCells count="67">
    <mergeCell ref="A10:A17"/>
    <mergeCell ref="A18:A21"/>
    <mergeCell ref="A22:A25"/>
    <mergeCell ref="B23:C23"/>
    <mergeCell ref="B20:C20"/>
    <mergeCell ref="B11:C11"/>
    <mergeCell ref="B10:C10"/>
    <mergeCell ref="D23:E23"/>
    <mergeCell ref="B24:C24"/>
    <mergeCell ref="D24:E24"/>
    <mergeCell ref="B25:C25"/>
    <mergeCell ref="D25:E25"/>
    <mergeCell ref="A26:D26"/>
    <mergeCell ref="A30:D30"/>
    <mergeCell ref="F32:AE32"/>
    <mergeCell ref="AF32:CL32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D20:E20"/>
    <mergeCell ref="B21:C21"/>
    <mergeCell ref="D21:E21"/>
    <mergeCell ref="B22:C22"/>
    <mergeCell ref="D22:E22"/>
    <mergeCell ref="A5:C5"/>
    <mergeCell ref="D5:E5"/>
    <mergeCell ref="B6:C6"/>
    <mergeCell ref="D6:E6"/>
    <mergeCell ref="B7:C7"/>
    <mergeCell ref="D7:E7"/>
    <mergeCell ref="A6:A9"/>
    <mergeCell ref="B8:C8"/>
    <mergeCell ref="D8:E8"/>
    <mergeCell ref="B9:C9"/>
    <mergeCell ref="D9:E9"/>
    <mergeCell ref="D10:E10"/>
    <mergeCell ref="D11:E11"/>
    <mergeCell ref="B12:C12"/>
    <mergeCell ref="D12:E12"/>
    <mergeCell ref="B13:C13"/>
    <mergeCell ref="D13:E13"/>
    <mergeCell ref="A1:B1"/>
    <mergeCell ref="F1:U1"/>
    <mergeCell ref="V1:CL1"/>
    <mergeCell ref="F2:U2"/>
    <mergeCell ref="V2:CL2"/>
    <mergeCell ref="V3:CL3"/>
    <mergeCell ref="A4:B4"/>
    <mergeCell ref="D4:E4"/>
    <mergeCell ref="F4:K4"/>
    <mergeCell ref="L4:P4"/>
    <mergeCell ref="Q4:U4"/>
    <mergeCell ref="V4:BK4"/>
    <mergeCell ref="A3:B3"/>
    <mergeCell ref="D3:E3"/>
    <mergeCell ref="F3:K3"/>
    <mergeCell ref="L3:P3"/>
    <mergeCell ref="Q3:U3"/>
  </mergeCells>
  <pageMargins left="0" right="0" top="1.7716535433070899" bottom="1.7716535433070899" header="0.31496062992126" footer="0.31496062992126"/>
  <pageSetup paperSize="9" scale="69" fitToHeight="2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7">
    <pageSetUpPr fitToPage="1"/>
  </sheetPr>
  <dimension ref="A1:CL32"/>
  <sheetViews>
    <sheetView view="pageBreakPreview" zoomScaleNormal="85" zoomScaleSheetLayoutView="100" workbookViewId="0">
      <pane xSplit="5" ySplit="5" topLeftCell="F6" activePane="bottomRight" state="frozen"/>
      <selection pane="topRight"/>
      <selection pane="bottomLeft"/>
      <selection pane="bottomRight" activeCell="V2" sqref="V2:CL2"/>
    </sheetView>
  </sheetViews>
  <sheetFormatPr defaultColWidth="9.140625" defaultRowHeight="11.25"/>
  <cols>
    <col min="1" max="1" width="10.140625" style="1" customWidth="1"/>
    <col min="2" max="2" width="11.7109375" style="1" customWidth="1"/>
    <col min="3" max="3" width="9.5703125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customWidth="1"/>
    <col min="8" max="8" width="6.85546875" style="1" hidden="1" customWidth="1"/>
    <col min="9" max="9" width="5.28515625" style="1" hidden="1" customWidth="1"/>
    <col min="10" max="10" width="5.28515625" style="1" customWidth="1"/>
    <col min="11" max="11" width="5.85546875" style="1" customWidth="1"/>
    <col min="12" max="12" width="5.7109375" style="1" customWidth="1"/>
    <col min="13" max="13" width="6" style="1" customWidth="1"/>
    <col min="14" max="14" width="5.140625" style="1" customWidth="1"/>
    <col min="15" max="15" width="5.7109375" style="1" customWidth="1"/>
    <col min="16" max="16" width="4.7109375" style="1" customWidth="1"/>
    <col min="17" max="17" width="6" style="1" customWidth="1"/>
    <col min="18" max="18" width="5.5703125" style="1" customWidth="1"/>
    <col min="19" max="19" width="5.5703125" style="1" hidden="1" customWidth="1"/>
    <col min="20" max="20" width="6.42578125" style="1" customWidth="1"/>
    <col min="21" max="21" width="5.7109375" style="1" hidden="1" customWidth="1"/>
    <col min="22" max="22" width="4.85546875" style="1" hidden="1" customWidth="1"/>
    <col min="23" max="23" width="6" style="1" customWidth="1"/>
    <col min="24" max="24" width="5.28515625" style="1" customWidth="1"/>
    <col min="25" max="25" width="5.85546875" style="1" customWidth="1"/>
    <col min="26" max="26" width="5.5703125" style="1" hidden="1" customWidth="1"/>
    <col min="27" max="27" width="6.42578125" style="1" hidden="1" customWidth="1"/>
    <col min="28" max="28" width="6.5703125" style="1" customWidth="1"/>
    <col min="29" max="30" width="4.85546875" style="1" customWidth="1"/>
    <col min="31" max="31" width="4.85546875" style="1" hidden="1" customWidth="1"/>
    <col min="32" max="32" width="5.7109375" style="1" hidden="1" customWidth="1"/>
    <col min="33" max="33" width="5.28515625" style="1" hidden="1" customWidth="1"/>
    <col min="34" max="34" width="5.42578125" style="1" hidden="1" customWidth="1"/>
    <col min="35" max="35" width="5.28515625" style="1" hidden="1" customWidth="1"/>
    <col min="36" max="36" width="5.28515625" style="1" customWidth="1"/>
    <col min="37" max="37" width="4.85546875" style="1" hidden="1" customWidth="1"/>
    <col min="38" max="38" width="5.85546875" style="1" customWidth="1"/>
    <col min="39" max="40" width="4.85546875" style="1" hidden="1" customWidth="1"/>
    <col min="41" max="41" width="4.7109375" style="1" hidden="1" customWidth="1"/>
    <col min="42" max="42" width="5.42578125" style="1" hidden="1" customWidth="1"/>
    <col min="43" max="43" width="5.42578125" style="1" customWidth="1"/>
    <col min="44" max="44" width="6.140625" style="1" hidden="1" customWidth="1"/>
    <col min="45" max="45" width="4.85546875" style="1" hidden="1" customWidth="1"/>
    <col min="46" max="46" width="4.85546875" style="1" customWidth="1"/>
    <col min="47" max="47" width="5.42578125" style="1" customWidth="1"/>
    <col min="48" max="48" width="5.140625" style="1" hidden="1" customWidth="1"/>
    <col min="49" max="49" width="5.28515625" style="1" customWidth="1"/>
    <col min="50" max="51" width="5.42578125" style="1" hidden="1" customWidth="1"/>
    <col min="52" max="52" width="5.7109375" style="1" customWidth="1"/>
    <col min="53" max="53" width="5.7109375" style="1" hidden="1" customWidth="1"/>
    <col min="54" max="59" width="4.85546875" style="1" hidden="1" customWidth="1"/>
    <col min="60" max="60" width="4.85546875" style="1" customWidth="1"/>
    <col min="61" max="63" width="4.85546875" style="1" hidden="1" customWidth="1"/>
    <col min="64" max="64" width="5.85546875" style="1" customWidth="1"/>
    <col min="65" max="65" width="6" style="1" hidden="1" customWidth="1"/>
    <col min="66" max="66" width="4.85546875" style="1" hidden="1" customWidth="1"/>
    <col min="67" max="67" width="5.42578125" style="1" customWidth="1"/>
    <col min="68" max="68" width="4.85546875" style="1" hidden="1" customWidth="1"/>
    <col min="69" max="69" width="5.28515625" style="1" customWidth="1"/>
    <col min="70" max="70" width="6.140625" style="1" hidden="1" customWidth="1"/>
    <col min="71" max="71" width="4.85546875" style="1" hidden="1" customWidth="1"/>
    <col min="72" max="72" width="5.42578125" style="1" hidden="1" customWidth="1"/>
    <col min="73" max="73" width="4.85546875" style="1" hidden="1" customWidth="1"/>
    <col min="74" max="74" width="5" style="1" hidden="1" customWidth="1"/>
    <col min="75" max="77" width="4.85546875" style="1" hidden="1" customWidth="1"/>
    <col min="78" max="78" width="5.42578125" style="1" customWidth="1"/>
    <col min="79" max="79" width="5.85546875" style="1" hidden="1" customWidth="1"/>
    <col min="80" max="81" width="5" style="1" hidden="1" customWidth="1"/>
    <col min="82" max="89" width="4.85546875" style="1" hidden="1" customWidth="1"/>
    <col min="90" max="90" width="10.28515625" style="1" customWidth="1"/>
    <col min="91" max="16384" width="9.140625" style="1"/>
  </cols>
  <sheetData>
    <row r="1" spans="1:90" ht="15.75">
      <c r="A1" s="34">
        <v>46274</v>
      </c>
      <c r="B1" s="34"/>
      <c r="C1" s="2"/>
      <c r="E1" s="3"/>
      <c r="F1" s="35" t="str">
        <f>'1'!F1:U1</f>
        <v xml:space="preserve"> -МТТ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</row>
    <row r="2" spans="1:90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</row>
    <row r="3" spans="1:90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0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</row>
    <row r="5" spans="1:90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71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 t="s">
        <v>85</v>
      </c>
      <c r="CH5" s="7" t="s">
        <v>86</v>
      </c>
      <c r="CI5" s="7"/>
      <c r="CJ5" s="7"/>
      <c r="CK5" s="7"/>
      <c r="CL5" s="10" t="s">
        <v>87</v>
      </c>
    </row>
    <row r="6" spans="1:90" ht="24.75" customHeight="1">
      <c r="A6" s="47" t="s">
        <v>88</v>
      </c>
      <c r="B6" s="45" t="s">
        <v>150</v>
      </c>
      <c r="C6" s="46"/>
      <c r="D6" s="37">
        <v>150</v>
      </c>
      <c r="E6" s="38"/>
      <c r="F6" s="12"/>
      <c r="G6" s="12"/>
      <c r="H6" s="12"/>
      <c r="I6" s="12"/>
      <c r="J6" s="12"/>
      <c r="K6" s="12">
        <v>5</v>
      </c>
      <c r="L6" s="12">
        <v>25</v>
      </c>
      <c r="M6" s="12"/>
      <c r="N6" s="12"/>
      <c r="O6" s="12"/>
      <c r="P6" s="12">
        <v>0.75</v>
      </c>
      <c r="Q6" s="12">
        <v>3</v>
      </c>
      <c r="R6" s="12"/>
      <c r="S6" s="12"/>
      <c r="T6" s="12"/>
      <c r="U6" s="12"/>
      <c r="V6" s="12"/>
      <c r="W6" s="12">
        <v>56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3">
        <f t="shared" ref="CL6:CL25" si="0">SUM(F6:CK6)</f>
        <v>89.75</v>
      </c>
    </row>
    <row r="7" spans="1:90" ht="24.75" customHeight="1">
      <c r="A7" s="48"/>
      <c r="B7" s="28" t="s">
        <v>107</v>
      </c>
      <c r="C7" s="29"/>
      <c r="D7" s="37">
        <v>150</v>
      </c>
      <c r="E7" s="38"/>
      <c r="F7" s="12"/>
      <c r="G7" s="12"/>
      <c r="H7" s="12"/>
      <c r="I7" s="12"/>
      <c r="J7" s="12"/>
      <c r="K7" s="12">
        <v>7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>
        <v>75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>
        <v>2</v>
      </c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3">
        <f t="shared" si="0"/>
        <v>84</v>
      </c>
    </row>
    <row r="8" spans="1:90" ht="24.75" customHeight="1">
      <c r="A8" s="48"/>
      <c r="B8" s="28" t="s">
        <v>151</v>
      </c>
      <c r="C8" s="29"/>
      <c r="D8" s="37">
        <v>50</v>
      </c>
      <c r="E8" s="38"/>
      <c r="F8" s="12">
        <v>30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5</v>
      </c>
      <c r="R8" s="12"/>
      <c r="S8" s="12"/>
      <c r="T8" s="12"/>
      <c r="U8" s="12"/>
      <c r="V8" s="12"/>
      <c r="W8" s="12"/>
      <c r="X8" s="12">
        <v>16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3">
        <f t="shared" si="0"/>
        <v>51</v>
      </c>
    </row>
    <row r="9" spans="1:90" ht="24.75" hidden="1" customHeight="1">
      <c r="A9" s="49"/>
      <c r="B9" s="28"/>
      <c r="C9" s="29"/>
      <c r="D9" s="37"/>
      <c r="E9" s="3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3">
        <f t="shared" si="0"/>
        <v>0</v>
      </c>
    </row>
    <row r="10" spans="1:90" ht="35.25" customHeight="1">
      <c r="A10" s="47" t="s">
        <v>90</v>
      </c>
      <c r="B10" s="41" t="s">
        <v>152</v>
      </c>
      <c r="C10" s="14"/>
      <c r="D10" s="63" t="s">
        <v>91</v>
      </c>
      <c r="E10" s="64"/>
      <c r="F10" s="12"/>
      <c r="G10" s="12"/>
      <c r="H10" s="12"/>
      <c r="I10" s="12"/>
      <c r="J10" s="12"/>
      <c r="K10" s="12"/>
      <c r="L10" s="12"/>
      <c r="M10" s="12">
        <v>18.8</v>
      </c>
      <c r="N10" s="12">
        <v>10</v>
      </c>
      <c r="O10" s="12">
        <v>9.5</v>
      </c>
      <c r="P10" s="12">
        <v>0.5</v>
      </c>
      <c r="Q10" s="12">
        <v>3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>
        <v>8</v>
      </c>
      <c r="AD10" s="12">
        <v>10</v>
      </c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3">
        <f t="shared" si="0"/>
        <v>59.8</v>
      </c>
    </row>
    <row r="11" spans="1:90" ht="24.75" customHeight="1">
      <c r="A11" s="48"/>
      <c r="B11" s="41"/>
      <c r="C11" s="26" t="s">
        <v>153</v>
      </c>
      <c r="D11" s="39"/>
      <c r="E11" s="40"/>
      <c r="F11" s="12"/>
      <c r="G11" s="12"/>
      <c r="H11" s="12"/>
      <c r="I11" s="12"/>
      <c r="J11" s="12"/>
      <c r="K11" s="12"/>
      <c r="L11" s="12"/>
      <c r="M11" s="12"/>
      <c r="N11" s="12"/>
      <c r="O11" s="12">
        <v>3</v>
      </c>
      <c r="P11" s="12">
        <v>0.2</v>
      </c>
      <c r="Q11" s="12"/>
      <c r="R11" s="12"/>
      <c r="S11" s="12"/>
      <c r="T11" s="12">
        <v>2.2999999999999998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5</v>
      </c>
      <c r="AK11" s="12"/>
      <c r="AL11" s="12"/>
      <c r="AM11" s="12"/>
      <c r="AN11" s="12"/>
      <c r="AO11" s="12"/>
      <c r="AP11" s="12"/>
      <c r="AQ11" s="12"/>
      <c r="AR11" s="12"/>
      <c r="AS11" s="12"/>
      <c r="AT11" s="12">
        <v>1.8</v>
      </c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>
        <v>18</v>
      </c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3">
        <f t="shared" si="0"/>
        <v>30.3</v>
      </c>
    </row>
    <row r="12" spans="1:90" ht="24.75" customHeight="1">
      <c r="A12" s="48"/>
      <c r="B12" s="61" t="s">
        <v>154</v>
      </c>
      <c r="C12" s="62"/>
      <c r="D12" s="39">
        <v>180</v>
      </c>
      <c r="E12" s="40"/>
      <c r="F12" s="12"/>
      <c r="G12" s="12"/>
      <c r="H12" s="12"/>
      <c r="I12" s="12"/>
      <c r="J12" s="12">
        <v>4</v>
      </c>
      <c r="K12" s="12"/>
      <c r="L12" s="12"/>
      <c r="M12" s="12">
        <v>125</v>
      </c>
      <c r="N12" s="12"/>
      <c r="O12" s="12">
        <v>17.899999999999999</v>
      </c>
      <c r="P12" s="12">
        <v>0.6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>
        <v>60</v>
      </c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3">
        <f t="shared" si="0"/>
        <v>207.5</v>
      </c>
    </row>
    <row r="13" spans="1:90" ht="24.75" customHeight="1">
      <c r="A13" s="48"/>
      <c r="B13" s="45" t="s">
        <v>93</v>
      </c>
      <c r="C13" s="46"/>
      <c r="D13" s="37">
        <v>45</v>
      </c>
      <c r="E13" s="38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>
        <v>0.2</v>
      </c>
      <c r="Q13" s="12"/>
      <c r="R13" s="12">
        <v>47.4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3">
        <f t="shared" si="0"/>
        <v>47.6</v>
      </c>
    </row>
    <row r="14" spans="1:90" ht="24.75" customHeight="1">
      <c r="A14" s="48"/>
      <c r="B14" s="45" t="s">
        <v>155</v>
      </c>
      <c r="C14" s="46"/>
      <c r="D14" s="37">
        <v>150</v>
      </c>
      <c r="E14" s="38"/>
      <c r="F14" s="12"/>
      <c r="G14" s="12"/>
      <c r="H14" s="12"/>
      <c r="I14" s="12"/>
      <c r="J14" s="12"/>
      <c r="K14" s="12">
        <v>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>
        <v>15</v>
      </c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3">
        <f t="shared" si="0"/>
        <v>23</v>
      </c>
    </row>
    <row r="15" spans="1:90" ht="24.75" customHeight="1">
      <c r="A15" s="48"/>
      <c r="B15" s="28" t="s">
        <v>94</v>
      </c>
      <c r="C15" s="29"/>
      <c r="D15" s="37">
        <v>60</v>
      </c>
      <c r="E15" s="38"/>
      <c r="F15" s="12">
        <v>60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3">
        <f t="shared" si="0"/>
        <v>60</v>
      </c>
    </row>
    <row r="16" spans="1:90" ht="24.75" hidden="1" customHeight="1">
      <c r="A16" s="48"/>
      <c r="B16" s="28"/>
      <c r="C16" s="29"/>
      <c r="D16" s="37"/>
      <c r="E16" s="3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3">
        <f t="shared" si="0"/>
        <v>0</v>
      </c>
    </row>
    <row r="17" spans="1:90" ht="24.75" hidden="1" customHeight="1">
      <c r="A17" s="49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3">
        <f t="shared" si="0"/>
        <v>0</v>
      </c>
    </row>
    <row r="18" spans="1:90" ht="24.75" customHeight="1">
      <c r="A18" s="57" t="s">
        <v>95</v>
      </c>
      <c r="B18" s="41" t="s">
        <v>156</v>
      </c>
      <c r="C18" s="41"/>
      <c r="D18" s="52">
        <v>100</v>
      </c>
      <c r="E18" s="52"/>
      <c r="F18" s="12"/>
      <c r="G18" s="12"/>
      <c r="H18" s="12"/>
      <c r="I18" s="12"/>
      <c r="J18" s="12"/>
      <c r="K18" s="12">
        <v>8.1999999999999993</v>
      </c>
      <c r="L18" s="12"/>
      <c r="N18" s="12"/>
      <c r="O18" s="12"/>
      <c r="P18" s="12"/>
      <c r="Q18" s="12">
        <v>1</v>
      </c>
      <c r="R18" s="12"/>
      <c r="S18" s="12"/>
      <c r="T18" s="12">
        <v>28.7</v>
      </c>
      <c r="U18" s="12"/>
      <c r="V18" s="12"/>
      <c r="W18" s="12">
        <v>25.7</v>
      </c>
      <c r="X18" s="12"/>
      <c r="Y18" s="12">
        <v>82.2</v>
      </c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>
        <v>8.1999999999999993</v>
      </c>
      <c r="AR18" s="12"/>
      <c r="AS18" s="12"/>
      <c r="AT18" s="12"/>
      <c r="AU18" s="12"/>
      <c r="AV18" s="12"/>
      <c r="AW18" s="12">
        <v>4.0999999999999996</v>
      </c>
      <c r="AX18" s="12"/>
      <c r="AY18" s="12"/>
      <c r="AZ18" s="12">
        <v>10.3</v>
      </c>
      <c r="BA18" s="12"/>
      <c r="BB18" s="12"/>
      <c r="BC18" s="12"/>
      <c r="BD18" s="12"/>
      <c r="BE18" s="12"/>
      <c r="BF18" s="12"/>
      <c r="BG18" s="12"/>
      <c r="BH18" s="12">
        <v>5.0999999999999996</v>
      </c>
      <c r="BI18" s="12"/>
      <c r="BJ18" s="12"/>
      <c r="BK18" s="12"/>
      <c r="BL18" s="12"/>
      <c r="BM18" s="12"/>
      <c r="BN18" s="12"/>
      <c r="BO18" s="12">
        <v>1</v>
      </c>
      <c r="BP18" s="12"/>
      <c r="BQ18" s="12">
        <v>0.1</v>
      </c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3">
        <f t="shared" si="0"/>
        <v>174.6</v>
      </c>
    </row>
    <row r="19" spans="1:90" ht="24.75" customHeight="1">
      <c r="A19" s="58"/>
      <c r="B19" s="41" t="s">
        <v>124</v>
      </c>
      <c r="C19" s="41"/>
      <c r="D19" s="52">
        <v>150</v>
      </c>
      <c r="E19" s="5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>
        <v>185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3">
        <f t="shared" si="0"/>
        <v>185</v>
      </c>
    </row>
    <row r="20" spans="1:90" ht="24.75" hidden="1" customHeight="1">
      <c r="A20" s="58"/>
      <c r="B20" s="50"/>
      <c r="C20" s="51"/>
      <c r="D20" s="37"/>
      <c r="E20" s="38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3">
        <f t="shared" si="0"/>
        <v>0</v>
      </c>
    </row>
    <row r="21" spans="1:90" ht="24.75" customHeight="1">
      <c r="A21" s="59"/>
      <c r="B21" s="50" t="s">
        <v>157</v>
      </c>
      <c r="C21" s="51"/>
      <c r="D21" s="37">
        <v>150</v>
      </c>
      <c r="E21" s="38"/>
      <c r="F21" s="12"/>
      <c r="G21" s="12">
        <v>0.2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>
        <v>11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3">
        <f t="shared" si="0"/>
        <v>11.2</v>
      </c>
    </row>
    <row r="22" spans="1:90" ht="24.75" hidden="1" customHeight="1">
      <c r="A22" s="60"/>
      <c r="B22" s="28"/>
      <c r="C22" s="29"/>
      <c r="D22" s="52"/>
      <c r="E22" s="5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3">
        <f t="shared" si="0"/>
        <v>0</v>
      </c>
    </row>
    <row r="23" spans="1:90" ht="24.75" hidden="1" customHeight="1">
      <c r="A23" s="60"/>
      <c r="B23" s="28"/>
      <c r="C23" s="29"/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3">
        <f t="shared" si="0"/>
        <v>0</v>
      </c>
    </row>
    <row r="24" spans="1:90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3">
        <f t="shared" si="0"/>
        <v>0</v>
      </c>
    </row>
    <row r="25" spans="1:90" ht="0.75" customHeight="1">
      <c r="A25" s="60"/>
      <c r="B25" s="33"/>
      <c r="C25" s="33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3">
        <f t="shared" si="0"/>
        <v>0</v>
      </c>
    </row>
    <row r="26" spans="1:90" ht="18.75" customHeight="1">
      <c r="A26" s="53" t="s">
        <v>100</v>
      </c>
      <c r="B26" s="54"/>
      <c r="C26" s="54"/>
      <c r="D26" s="55"/>
      <c r="E26" s="18"/>
      <c r="F26" s="19">
        <f t="shared" ref="F26:BQ26" si="1">SUM(F6:F21)</f>
        <v>90</v>
      </c>
      <c r="G26" s="19">
        <f t="shared" si="1"/>
        <v>0.2</v>
      </c>
      <c r="H26" s="19">
        <f t="shared" si="1"/>
        <v>0</v>
      </c>
      <c r="I26" s="19">
        <f t="shared" si="1"/>
        <v>0</v>
      </c>
      <c r="J26" s="19">
        <f t="shared" si="1"/>
        <v>4</v>
      </c>
      <c r="K26" s="19">
        <f t="shared" si="1"/>
        <v>28.2</v>
      </c>
      <c r="L26" s="19">
        <f t="shared" si="1"/>
        <v>25</v>
      </c>
      <c r="M26" s="19">
        <f t="shared" si="1"/>
        <v>143.80000000000001</v>
      </c>
      <c r="N26" s="19">
        <f t="shared" si="1"/>
        <v>10</v>
      </c>
      <c r="O26" s="19">
        <f t="shared" si="1"/>
        <v>30.4</v>
      </c>
      <c r="P26" s="19">
        <f t="shared" si="1"/>
        <v>2.25</v>
      </c>
      <c r="Q26" s="19">
        <f t="shared" si="1"/>
        <v>12</v>
      </c>
      <c r="R26" s="19">
        <f t="shared" si="1"/>
        <v>47.4</v>
      </c>
      <c r="S26" s="19">
        <f t="shared" si="1"/>
        <v>0</v>
      </c>
      <c r="T26" s="19">
        <f t="shared" si="1"/>
        <v>31</v>
      </c>
      <c r="U26" s="19">
        <f t="shared" si="1"/>
        <v>0</v>
      </c>
      <c r="V26" s="19">
        <f t="shared" si="1"/>
        <v>0</v>
      </c>
      <c r="W26" s="19">
        <f t="shared" si="1"/>
        <v>156.69999999999999</v>
      </c>
      <c r="X26" s="19">
        <f t="shared" si="1"/>
        <v>16</v>
      </c>
      <c r="Y26" s="19">
        <f t="shared" si="1"/>
        <v>82.2</v>
      </c>
      <c r="Z26" s="19">
        <f t="shared" si="1"/>
        <v>0</v>
      </c>
      <c r="AA26" s="19">
        <f t="shared" si="1"/>
        <v>0</v>
      </c>
      <c r="AB26" s="19">
        <f t="shared" si="1"/>
        <v>185</v>
      </c>
      <c r="AC26" s="19">
        <f t="shared" si="1"/>
        <v>8</v>
      </c>
      <c r="AD26" s="19">
        <f t="shared" si="1"/>
        <v>10</v>
      </c>
      <c r="AE26" s="19">
        <f t="shared" si="1"/>
        <v>0</v>
      </c>
      <c r="AF26" s="19">
        <f t="shared" si="1"/>
        <v>0</v>
      </c>
      <c r="AG26" s="19">
        <f t="shared" si="1"/>
        <v>0</v>
      </c>
      <c r="AH26" s="19">
        <f t="shared" si="1"/>
        <v>0</v>
      </c>
      <c r="AI26" s="19">
        <f t="shared" si="1"/>
        <v>0</v>
      </c>
      <c r="AJ26" s="19">
        <f t="shared" si="1"/>
        <v>5</v>
      </c>
      <c r="AK26" s="19">
        <f t="shared" si="1"/>
        <v>0</v>
      </c>
      <c r="AL26" s="19">
        <f t="shared" si="1"/>
        <v>11</v>
      </c>
      <c r="AM26" s="19">
        <f t="shared" si="1"/>
        <v>0</v>
      </c>
      <c r="AN26" s="19">
        <f t="shared" si="1"/>
        <v>0</v>
      </c>
      <c r="AO26" s="19">
        <f t="shared" si="1"/>
        <v>0</v>
      </c>
      <c r="AP26" s="19">
        <f t="shared" si="1"/>
        <v>0</v>
      </c>
      <c r="AQ26" s="19">
        <f t="shared" si="1"/>
        <v>8.1999999999999993</v>
      </c>
      <c r="AR26" s="19">
        <f t="shared" si="1"/>
        <v>0</v>
      </c>
      <c r="AS26" s="19">
        <f t="shared" si="1"/>
        <v>0</v>
      </c>
      <c r="AT26" s="19">
        <f t="shared" si="1"/>
        <v>1.8</v>
      </c>
      <c r="AU26" s="19">
        <f t="shared" si="1"/>
        <v>2</v>
      </c>
      <c r="AV26" s="19">
        <f t="shared" si="1"/>
        <v>0</v>
      </c>
      <c r="AW26" s="19">
        <f t="shared" si="1"/>
        <v>4.0999999999999996</v>
      </c>
      <c r="AX26" s="19">
        <f t="shared" si="1"/>
        <v>0</v>
      </c>
      <c r="AY26" s="19">
        <f t="shared" si="1"/>
        <v>0</v>
      </c>
      <c r="AZ26" s="19">
        <f t="shared" si="1"/>
        <v>10.3</v>
      </c>
      <c r="BA26" s="19">
        <f t="shared" si="1"/>
        <v>0</v>
      </c>
      <c r="BB26" s="19">
        <f t="shared" si="1"/>
        <v>0</v>
      </c>
      <c r="BC26" s="19">
        <f t="shared" si="1"/>
        <v>0</v>
      </c>
      <c r="BD26" s="19">
        <f t="shared" si="1"/>
        <v>0</v>
      </c>
      <c r="BE26" s="19">
        <f t="shared" si="1"/>
        <v>0</v>
      </c>
      <c r="BF26" s="19">
        <f t="shared" si="1"/>
        <v>0</v>
      </c>
      <c r="BG26" s="19">
        <f t="shared" si="1"/>
        <v>0</v>
      </c>
      <c r="BH26" s="19">
        <f t="shared" si="1"/>
        <v>5.0999999999999996</v>
      </c>
      <c r="BI26" s="19">
        <f t="shared" si="1"/>
        <v>0</v>
      </c>
      <c r="BJ26" s="19">
        <f t="shared" si="1"/>
        <v>0</v>
      </c>
      <c r="BK26" s="19">
        <f t="shared" si="1"/>
        <v>0</v>
      </c>
      <c r="BL26" s="19">
        <f t="shared" si="1"/>
        <v>15</v>
      </c>
      <c r="BM26" s="19">
        <f t="shared" si="1"/>
        <v>0</v>
      </c>
      <c r="BN26" s="19">
        <f t="shared" si="1"/>
        <v>0</v>
      </c>
      <c r="BO26" s="19">
        <f t="shared" si="1"/>
        <v>1</v>
      </c>
      <c r="BP26" s="19">
        <f t="shared" si="1"/>
        <v>0</v>
      </c>
      <c r="BQ26" s="19">
        <f t="shared" si="1"/>
        <v>0.1</v>
      </c>
      <c r="BR26" s="19">
        <f t="shared" ref="BR26:CK26" si="2">SUM(BR6:BR21)</f>
        <v>0</v>
      </c>
      <c r="BS26" s="19">
        <f t="shared" si="2"/>
        <v>0</v>
      </c>
      <c r="BT26" s="19">
        <f t="shared" si="2"/>
        <v>0</v>
      </c>
      <c r="BU26" s="19">
        <f t="shared" si="2"/>
        <v>0</v>
      </c>
      <c r="BV26" s="19">
        <f t="shared" si="2"/>
        <v>0</v>
      </c>
      <c r="BW26" s="19">
        <f t="shared" si="2"/>
        <v>0</v>
      </c>
      <c r="BX26" s="19">
        <f t="shared" si="2"/>
        <v>0</v>
      </c>
      <c r="BY26" s="19">
        <f t="shared" si="2"/>
        <v>0</v>
      </c>
      <c r="BZ26" s="19">
        <f t="shared" si="2"/>
        <v>78</v>
      </c>
      <c r="CA26" s="19">
        <f t="shared" si="2"/>
        <v>0</v>
      </c>
      <c r="CB26" s="19">
        <f t="shared" si="2"/>
        <v>0</v>
      </c>
      <c r="CC26" s="19">
        <f t="shared" si="2"/>
        <v>0</v>
      </c>
      <c r="CD26" s="19">
        <f t="shared" si="2"/>
        <v>0</v>
      </c>
      <c r="CE26" s="19">
        <f t="shared" si="2"/>
        <v>0</v>
      </c>
      <c r="CF26" s="19">
        <f t="shared" si="2"/>
        <v>0</v>
      </c>
      <c r="CG26" s="19">
        <f t="shared" si="2"/>
        <v>0</v>
      </c>
      <c r="CH26" s="19">
        <f t="shared" si="2"/>
        <v>0</v>
      </c>
      <c r="CI26" s="19">
        <f t="shared" si="2"/>
        <v>0</v>
      </c>
      <c r="CJ26" s="19">
        <f t="shared" si="2"/>
        <v>0</v>
      </c>
      <c r="CK26" s="19">
        <f t="shared" si="2"/>
        <v>0</v>
      </c>
      <c r="CL26" s="13"/>
    </row>
    <row r="27" spans="1:90" ht="18.75" hidden="1" customHeight="1">
      <c r="A27" s="15"/>
      <c r="B27" s="16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3"/>
    </row>
    <row r="28" spans="1:90" ht="18.75" hidden="1" customHeight="1">
      <c r="A28" s="15"/>
      <c r="B28" s="16"/>
      <c r="C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3"/>
    </row>
    <row r="29" spans="1:90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3"/>
    </row>
    <row r="30" spans="1:90" ht="18.75" customHeight="1">
      <c r="A30" s="53" t="s">
        <v>101</v>
      </c>
      <c r="B30" s="54"/>
      <c r="C30" s="54"/>
      <c r="D30" s="55"/>
      <c r="E30" s="18"/>
      <c r="F30" s="20">
        <f>+F26*$A$4/1000</f>
        <v>0</v>
      </c>
      <c r="G30" s="20">
        <f t="shared" ref="G30:BR30" si="3">+G26*$A$4/1000</f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4">
        <f>+T26*$A$4/55</f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0</v>
      </c>
      <c r="AD30" s="20">
        <f t="shared" si="3"/>
        <v>0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20">
        <f t="shared" si="3"/>
        <v>0</v>
      </c>
      <c r="AO30" s="20">
        <f t="shared" si="3"/>
        <v>0</v>
      </c>
      <c r="AP30" s="20">
        <f t="shared" si="3"/>
        <v>0</v>
      </c>
      <c r="AQ30" s="20">
        <f t="shared" si="3"/>
        <v>0</v>
      </c>
      <c r="AR30" s="20">
        <f t="shared" si="3"/>
        <v>0</v>
      </c>
      <c r="AS30" s="20">
        <f t="shared" si="3"/>
        <v>0</v>
      </c>
      <c r="AT30" s="20">
        <f t="shared" si="3"/>
        <v>0</v>
      </c>
      <c r="AU30" s="20">
        <f t="shared" si="3"/>
        <v>0</v>
      </c>
      <c r="AV30" s="20">
        <f t="shared" si="3"/>
        <v>0</v>
      </c>
      <c r="AW30" s="20">
        <f t="shared" si="3"/>
        <v>0</v>
      </c>
      <c r="AX30" s="20">
        <f t="shared" si="3"/>
        <v>0</v>
      </c>
      <c r="AY30" s="20">
        <f t="shared" si="3"/>
        <v>0</v>
      </c>
      <c r="AZ30" s="20">
        <f t="shared" si="3"/>
        <v>0</v>
      </c>
      <c r="BA30" s="20">
        <f t="shared" si="3"/>
        <v>0</v>
      </c>
      <c r="BB30" s="20">
        <f t="shared" si="3"/>
        <v>0</v>
      </c>
      <c r="BC30" s="20">
        <f t="shared" si="3"/>
        <v>0</v>
      </c>
      <c r="BD30" s="20">
        <f t="shared" si="3"/>
        <v>0</v>
      </c>
      <c r="BE30" s="20">
        <f t="shared" si="3"/>
        <v>0</v>
      </c>
      <c r="BF30" s="20">
        <f t="shared" si="3"/>
        <v>0</v>
      </c>
      <c r="BG30" s="20">
        <f t="shared" si="3"/>
        <v>0</v>
      </c>
      <c r="BH30" s="20">
        <f t="shared" si="3"/>
        <v>0</v>
      </c>
      <c r="BI30" s="20">
        <f t="shared" si="3"/>
        <v>0</v>
      </c>
      <c r="BJ30" s="20">
        <f t="shared" si="3"/>
        <v>0</v>
      </c>
      <c r="BK30" s="20">
        <f t="shared" si="3"/>
        <v>0</v>
      </c>
      <c r="BL30" s="20">
        <f t="shared" si="3"/>
        <v>0</v>
      </c>
      <c r="BM30" s="20">
        <f t="shared" si="3"/>
        <v>0</v>
      </c>
      <c r="BN30" s="20">
        <f t="shared" si="3"/>
        <v>0</v>
      </c>
      <c r="BO30" s="20">
        <f t="shared" si="3"/>
        <v>0</v>
      </c>
      <c r="BP30" s="20">
        <f t="shared" si="3"/>
        <v>0</v>
      </c>
      <c r="BQ30" s="20">
        <f t="shared" si="3"/>
        <v>0</v>
      </c>
      <c r="BR30" s="20">
        <f t="shared" si="3"/>
        <v>0</v>
      </c>
      <c r="BS30" s="20">
        <f t="shared" ref="BS30:CK30" si="4">+BS26*$A$4/1000</f>
        <v>0</v>
      </c>
      <c r="BT30" s="20">
        <f t="shared" si="4"/>
        <v>0</v>
      </c>
      <c r="BU30" s="20">
        <f t="shared" si="4"/>
        <v>0</v>
      </c>
      <c r="BV30" s="20">
        <f t="shared" si="4"/>
        <v>0</v>
      </c>
      <c r="BW30" s="20">
        <f t="shared" si="4"/>
        <v>0</v>
      </c>
      <c r="BX30" s="20">
        <f t="shared" si="4"/>
        <v>0</v>
      </c>
      <c r="BY30" s="20">
        <f t="shared" si="4"/>
        <v>0</v>
      </c>
      <c r="BZ30" s="20">
        <f t="shared" si="4"/>
        <v>0</v>
      </c>
      <c r="CA30" s="20">
        <f t="shared" si="4"/>
        <v>0</v>
      </c>
      <c r="CB30" s="20">
        <f t="shared" si="4"/>
        <v>0</v>
      </c>
      <c r="CC30" s="20">
        <f t="shared" si="4"/>
        <v>0</v>
      </c>
      <c r="CD30" s="20">
        <f t="shared" si="4"/>
        <v>0</v>
      </c>
      <c r="CE30" s="20">
        <f t="shared" si="4"/>
        <v>0</v>
      </c>
      <c r="CF30" s="20">
        <f t="shared" si="4"/>
        <v>0</v>
      </c>
      <c r="CG30" s="20">
        <f t="shared" si="4"/>
        <v>0</v>
      </c>
      <c r="CH30" s="20">
        <f t="shared" si="4"/>
        <v>0</v>
      </c>
      <c r="CI30" s="20">
        <f t="shared" si="4"/>
        <v>0</v>
      </c>
      <c r="CJ30" s="20">
        <f t="shared" si="4"/>
        <v>0</v>
      </c>
      <c r="CK30" s="20">
        <f t="shared" si="4"/>
        <v>0</v>
      </c>
      <c r="CL30" s="13"/>
    </row>
    <row r="31" spans="1:9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21"/>
    </row>
    <row r="32" spans="1:90">
      <c r="A32" s="22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31" t="s">
        <v>103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</row>
  </sheetData>
  <mergeCells count="65">
    <mergeCell ref="A10:A17"/>
    <mergeCell ref="A18:A21"/>
    <mergeCell ref="A22:A25"/>
    <mergeCell ref="B25:C25"/>
    <mergeCell ref="B16:C16"/>
    <mergeCell ref="B19:C19"/>
    <mergeCell ref="B22:C22"/>
    <mergeCell ref="B13:C13"/>
    <mergeCell ref="B12:C12"/>
    <mergeCell ref="B15:C15"/>
    <mergeCell ref="D25:E25"/>
    <mergeCell ref="A26:D26"/>
    <mergeCell ref="A30:D30"/>
    <mergeCell ref="F32:AE32"/>
    <mergeCell ref="AF32:CL32"/>
    <mergeCell ref="D16:E16"/>
    <mergeCell ref="B17:C17"/>
    <mergeCell ref="D17:E17"/>
    <mergeCell ref="B18:C18"/>
    <mergeCell ref="D18:E18"/>
    <mergeCell ref="D19:E19"/>
    <mergeCell ref="B20:C20"/>
    <mergeCell ref="D20:E20"/>
    <mergeCell ref="B21:C21"/>
    <mergeCell ref="D21:E21"/>
    <mergeCell ref="D22:E22"/>
    <mergeCell ref="B23:C23"/>
    <mergeCell ref="D23:E23"/>
    <mergeCell ref="B24:C24"/>
    <mergeCell ref="D24:E24"/>
    <mergeCell ref="D7:E7"/>
    <mergeCell ref="A6:A9"/>
    <mergeCell ref="B8:C8"/>
    <mergeCell ref="D8:E8"/>
    <mergeCell ref="B9:C9"/>
    <mergeCell ref="D9:E9"/>
    <mergeCell ref="V1:CL1"/>
    <mergeCell ref="F2:U2"/>
    <mergeCell ref="V2:CL2"/>
    <mergeCell ref="V3:CL3"/>
    <mergeCell ref="A4:B4"/>
    <mergeCell ref="D4:E4"/>
    <mergeCell ref="F4:K4"/>
    <mergeCell ref="L4:P4"/>
    <mergeCell ref="Q4:U4"/>
    <mergeCell ref="V4:BK4"/>
    <mergeCell ref="A3:B3"/>
    <mergeCell ref="D3:E3"/>
    <mergeCell ref="F3:K3"/>
    <mergeCell ref="L3:P3"/>
    <mergeCell ref="Q3:U3"/>
    <mergeCell ref="D15:E15"/>
    <mergeCell ref="A1:B1"/>
    <mergeCell ref="F1:U1"/>
    <mergeCell ref="D12:E12"/>
    <mergeCell ref="D10:E11"/>
    <mergeCell ref="B10:B11"/>
    <mergeCell ref="D13:E13"/>
    <mergeCell ref="B14:C14"/>
    <mergeCell ref="D14:E14"/>
    <mergeCell ref="A5:C5"/>
    <mergeCell ref="D5:E5"/>
    <mergeCell ref="B6:C6"/>
    <mergeCell ref="D6:E6"/>
    <mergeCell ref="B7:C7"/>
  </mergeCells>
  <pageMargins left="3.9370078740157501E-2" right="3.9370078740157501E-2" top="1.7716535433070899" bottom="1.7716535433070899" header="3.9370078740157501E-2" footer="3.9370078740157501E-2"/>
  <pageSetup paperSize="9" scale="67" fitToHeight="2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8">
    <pageSetUpPr fitToPage="1"/>
  </sheetPr>
  <dimension ref="A1:CL32"/>
  <sheetViews>
    <sheetView view="pageBreakPreview" zoomScaleNormal="82" zoomScaleSheetLayoutView="100" workbookViewId="0">
      <selection activeCell="V2" sqref="V2:CL2"/>
    </sheetView>
  </sheetViews>
  <sheetFormatPr defaultColWidth="9.140625" defaultRowHeight="11.25"/>
  <cols>
    <col min="1" max="1" width="10.140625" style="1" customWidth="1"/>
    <col min="2" max="2" width="11.7109375" style="1" customWidth="1"/>
    <col min="3" max="3" width="8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customWidth="1"/>
    <col min="8" max="8" width="5" style="1" customWidth="1"/>
    <col min="9" max="9" width="5.28515625" style="1" hidden="1" customWidth="1"/>
    <col min="10" max="10" width="5.28515625" style="1" customWidth="1"/>
    <col min="11" max="11" width="5.85546875" style="1" customWidth="1"/>
    <col min="12" max="12" width="5.7109375" style="1" customWidth="1"/>
    <col min="13" max="13" width="6" style="1" customWidth="1"/>
    <col min="14" max="14" width="5.140625" style="1" customWidth="1"/>
    <col min="15" max="15" width="5.7109375" style="1" customWidth="1"/>
    <col min="16" max="16" width="4.7109375" style="1" customWidth="1"/>
    <col min="17" max="17" width="6" style="1" customWidth="1"/>
    <col min="18" max="19" width="5.5703125" style="1" customWidth="1"/>
    <col min="20" max="20" width="5.140625" style="1" customWidth="1"/>
    <col min="21" max="21" width="5.7109375" style="1" customWidth="1"/>
    <col min="22" max="22" width="4.85546875" style="1" hidden="1" customWidth="1"/>
    <col min="23" max="23" width="6" style="1" customWidth="1"/>
    <col min="24" max="24" width="5.28515625" style="1" hidden="1" customWidth="1"/>
    <col min="25" max="25" width="5.85546875" style="1" hidden="1" customWidth="1"/>
    <col min="26" max="26" width="5.5703125" style="1" customWidth="1"/>
    <col min="27" max="27" width="6.42578125" style="1" hidden="1" customWidth="1"/>
    <col min="28" max="28" width="5.7109375" style="1" customWidth="1"/>
    <col min="29" max="31" width="4.85546875" style="1" hidden="1" customWidth="1"/>
    <col min="32" max="32" width="5.7109375" style="1" hidden="1" customWidth="1"/>
    <col min="33" max="33" width="5.28515625" style="1" hidden="1" customWidth="1"/>
    <col min="34" max="34" width="5.42578125" style="1" hidden="1" customWidth="1"/>
    <col min="35" max="36" width="5.28515625" style="1" customWidth="1"/>
    <col min="37" max="37" width="4.85546875" style="1" hidden="1" customWidth="1"/>
    <col min="38" max="38" width="5.85546875" style="1" hidden="1" customWidth="1"/>
    <col min="39" max="39" width="4.85546875" style="1" hidden="1" customWidth="1"/>
    <col min="40" max="40" width="4.85546875" style="1" customWidth="1"/>
    <col min="41" max="41" width="4.7109375" style="1" hidden="1" customWidth="1"/>
    <col min="42" max="42" width="5.42578125" style="1" hidden="1" customWidth="1"/>
    <col min="43" max="43" width="5.42578125" style="1" customWidth="1"/>
    <col min="44" max="44" width="6.140625" style="1" hidden="1" customWidth="1"/>
    <col min="45" max="45" width="4.85546875" style="1" hidden="1" customWidth="1"/>
    <col min="46" max="46" width="4.85546875" style="1" customWidth="1"/>
    <col min="47" max="47" width="5.42578125" style="1" hidden="1" customWidth="1"/>
    <col min="48" max="48" width="5.140625" style="1" customWidth="1"/>
    <col min="49" max="49" width="5.28515625" style="1" hidden="1" customWidth="1"/>
    <col min="50" max="51" width="5.42578125" style="1" hidden="1" customWidth="1"/>
    <col min="52" max="53" width="5.7109375" style="1" customWidth="1"/>
    <col min="54" max="56" width="4.85546875" style="1" hidden="1" customWidth="1"/>
    <col min="57" max="57" width="4.85546875" style="1" customWidth="1"/>
    <col min="58" max="63" width="4.85546875" style="1" hidden="1" customWidth="1"/>
    <col min="64" max="64" width="5.85546875" style="1" hidden="1" customWidth="1"/>
    <col min="65" max="65" width="6" style="1" hidden="1" customWidth="1"/>
    <col min="66" max="66" width="4.85546875" style="1" hidden="1" customWidth="1"/>
    <col min="67" max="67" width="5.42578125" style="1" customWidth="1"/>
    <col min="68" max="68" width="4.85546875" style="1" customWidth="1"/>
    <col min="69" max="69" width="5.28515625" style="1" customWidth="1"/>
    <col min="70" max="70" width="6.140625" style="1" hidden="1" customWidth="1"/>
    <col min="71" max="71" width="4.85546875" style="1" hidden="1" customWidth="1"/>
    <col min="72" max="72" width="5.42578125" style="1" hidden="1" customWidth="1"/>
    <col min="73" max="73" width="4.85546875" style="1" hidden="1" customWidth="1"/>
    <col min="74" max="74" width="5" style="1" hidden="1" customWidth="1"/>
    <col min="75" max="77" width="4.85546875" style="1" hidden="1" customWidth="1"/>
    <col min="78" max="78" width="5.42578125" style="1" hidden="1" customWidth="1"/>
    <col min="79" max="79" width="5.85546875" style="1" hidden="1" customWidth="1"/>
    <col min="80" max="81" width="5" style="1" hidden="1" customWidth="1"/>
    <col min="82" max="89" width="4.85546875" style="1" hidden="1" customWidth="1"/>
    <col min="90" max="90" width="9.28515625" style="1" customWidth="1"/>
    <col min="91" max="16384" width="9.140625" style="1"/>
  </cols>
  <sheetData>
    <row r="1" spans="1:90" ht="15.75">
      <c r="A1" s="34">
        <v>46304</v>
      </c>
      <c r="B1" s="34"/>
      <c r="C1" s="2"/>
      <c r="E1" s="3"/>
      <c r="F1" s="35" t="str">
        <f>'1'!F1:U1</f>
        <v xml:space="preserve"> -МТТ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</row>
    <row r="2" spans="1:90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</row>
    <row r="3" spans="1:90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0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</row>
    <row r="5" spans="1:90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71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 t="s">
        <v>85</v>
      </c>
      <c r="CH5" s="7" t="s">
        <v>86</v>
      </c>
      <c r="CI5" s="7"/>
      <c r="CJ5" s="7"/>
      <c r="CK5" s="7"/>
      <c r="CL5" s="10" t="s">
        <v>87</v>
      </c>
    </row>
    <row r="6" spans="1:90" ht="24.75" customHeight="1">
      <c r="A6" s="47" t="s">
        <v>88</v>
      </c>
      <c r="B6" s="45" t="s">
        <v>158</v>
      </c>
      <c r="C6" s="46"/>
      <c r="D6" s="37">
        <v>130</v>
      </c>
      <c r="E6" s="38"/>
      <c r="F6" s="12"/>
      <c r="G6" s="12"/>
      <c r="H6" s="12"/>
      <c r="I6" s="12"/>
      <c r="J6" s="12"/>
      <c r="K6" s="12">
        <v>2.5</v>
      </c>
      <c r="L6" s="12"/>
      <c r="M6" s="12"/>
      <c r="N6" s="12"/>
      <c r="O6" s="12"/>
      <c r="P6" s="12">
        <v>0.6</v>
      </c>
      <c r="Q6" s="12">
        <v>3</v>
      </c>
      <c r="R6" s="12"/>
      <c r="S6" s="12"/>
      <c r="T6" s="12"/>
      <c r="U6" s="12"/>
      <c r="V6" s="12"/>
      <c r="W6" s="12">
        <v>52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>
        <v>17.3</v>
      </c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3">
        <f t="shared" ref="CL6:CL25" si="0">SUM(F6:CK6)</f>
        <v>75.400000000000006</v>
      </c>
    </row>
    <row r="7" spans="1:90" ht="24.75" customHeight="1">
      <c r="A7" s="48"/>
      <c r="B7" s="28" t="s">
        <v>159</v>
      </c>
      <c r="C7" s="29"/>
      <c r="D7" s="37">
        <v>50</v>
      </c>
      <c r="E7" s="38"/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v>0.75</v>
      </c>
      <c r="Q7" s="12">
        <v>5</v>
      </c>
      <c r="R7" s="12"/>
      <c r="S7" s="12"/>
      <c r="T7" s="12">
        <v>55</v>
      </c>
      <c r="U7" s="12"/>
      <c r="V7" s="12"/>
      <c r="W7" s="12">
        <v>11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3">
        <f t="shared" si="0"/>
        <v>71.75</v>
      </c>
    </row>
    <row r="8" spans="1:90" ht="24.75" customHeight="1">
      <c r="A8" s="48"/>
      <c r="B8" s="28" t="s">
        <v>7</v>
      </c>
      <c r="C8" s="29"/>
      <c r="D8" s="37">
        <v>150</v>
      </c>
      <c r="E8" s="38"/>
      <c r="F8" s="12"/>
      <c r="G8" s="12">
        <v>0.2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3">
        <f t="shared" si="0"/>
        <v>0.2</v>
      </c>
    </row>
    <row r="9" spans="1:90" ht="24.75" customHeight="1">
      <c r="A9" s="49"/>
      <c r="B9" s="28" t="s">
        <v>94</v>
      </c>
      <c r="C9" s="29"/>
      <c r="D9" s="37">
        <v>40</v>
      </c>
      <c r="E9" s="38"/>
      <c r="F9" s="12">
        <v>40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3">
        <f t="shared" si="0"/>
        <v>40</v>
      </c>
    </row>
    <row r="10" spans="1:90" ht="24.75" customHeight="1">
      <c r="A10" s="47" t="s">
        <v>90</v>
      </c>
      <c r="B10" s="45" t="s">
        <v>160</v>
      </c>
      <c r="C10" s="46"/>
      <c r="D10" s="37" t="s">
        <v>110</v>
      </c>
      <c r="E10" s="38"/>
      <c r="F10" s="12"/>
      <c r="G10" s="12"/>
      <c r="H10" s="12">
        <v>27.2</v>
      </c>
      <c r="I10" s="12"/>
      <c r="J10" s="12">
        <v>3</v>
      </c>
      <c r="K10" s="12">
        <v>1</v>
      </c>
      <c r="L10" s="12"/>
      <c r="M10" s="12">
        <v>35</v>
      </c>
      <c r="N10" s="12">
        <v>10</v>
      </c>
      <c r="O10" s="12">
        <v>9.5</v>
      </c>
      <c r="P10" s="12">
        <v>0.5</v>
      </c>
      <c r="Q10" s="12"/>
      <c r="R10" s="12"/>
      <c r="S10" s="12"/>
      <c r="T10" s="12"/>
      <c r="U10" s="12"/>
      <c r="V10" s="12"/>
      <c r="W10" s="12"/>
      <c r="X10" s="12"/>
      <c r="Y10" s="12"/>
      <c r="Z10" s="12">
        <v>2.2999999999999998</v>
      </c>
      <c r="AA10" s="12"/>
      <c r="AB10" s="12"/>
      <c r="AC10" s="12"/>
      <c r="AD10" s="12"/>
      <c r="AE10" s="12"/>
      <c r="AF10" s="12"/>
      <c r="AG10" s="12"/>
      <c r="AH10" s="12"/>
      <c r="AI10" s="12">
        <v>0.33</v>
      </c>
      <c r="AJ10" s="12">
        <v>3</v>
      </c>
      <c r="AK10" s="12"/>
      <c r="AL10" s="12"/>
      <c r="AM10" s="12"/>
      <c r="AN10" s="12"/>
      <c r="AO10" s="12"/>
      <c r="AP10" s="12"/>
      <c r="AQ10" s="12"/>
      <c r="AR10" s="12"/>
      <c r="AS10" s="12"/>
      <c r="AT10" s="12">
        <v>1.8</v>
      </c>
      <c r="AU10" s="12"/>
      <c r="AV10" s="12">
        <v>25</v>
      </c>
      <c r="AW10" s="12"/>
      <c r="AX10" s="12"/>
      <c r="AY10" s="12"/>
      <c r="AZ10" s="12"/>
      <c r="BA10" s="12">
        <v>0.5</v>
      </c>
      <c r="BB10" s="12"/>
      <c r="BC10" s="12"/>
      <c r="BD10" s="12"/>
      <c r="BE10" s="12">
        <v>25</v>
      </c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3">
        <f t="shared" si="0"/>
        <v>144.13</v>
      </c>
    </row>
    <row r="11" spans="1:90" ht="24.75" customHeight="1">
      <c r="A11" s="48"/>
      <c r="B11" s="61" t="s">
        <v>161</v>
      </c>
      <c r="C11" s="62"/>
      <c r="D11" s="39">
        <v>180</v>
      </c>
      <c r="E11" s="40"/>
      <c r="F11" s="12"/>
      <c r="G11" s="12"/>
      <c r="H11" s="12">
        <v>54.3</v>
      </c>
      <c r="I11" s="12"/>
      <c r="J11" s="12">
        <v>10</v>
      </c>
      <c r="K11" s="12"/>
      <c r="L11" s="12">
        <v>41</v>
      </c>
      <c r="M11" s="12"/>
      <c r="N11" s="12">
        <v>29</v>
      </c>
      <c r="O11" s="12">
        <v>12</v>
      </c>
      <c r="P11" s="12">
        <v>1</v>
      </c>
      <c r="Q11" s="12"/>
      <c r="R11" s="12"/>
      <c r="S11" s="12"/>
      <c r="T11" s="12"/>
      <c r="U11" s="12"/>
      <c r="V11" s="12"/>
      <c r="W11" s="12"/>
      <c r="X11" s="12"/>
      <c r="Y11" s="12"/>
      <c r="Z11" s="12">
        <v>4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3">
        <f t="shared" si="0"/>
        <v>151.30000000000001</v>
      </c>
    </row>
    <row r="12" spans="1:90" ht="24.75" customHeight="1">
      <c r="A12" s="48"/>
      <c r="B12" s="45" t="s">
        <v>112</v>
      </c>
      <c r="C12" s="46"/>
      <c r="D12" s="39">
        <v>45</v>
      </c>
      <c r="E12" s="40"/>
      <c r="F12" s="12"/>
      <c r="G12" s="12"/>
      <c r="H12" s="12"/>
      <c r="I12" s="12"/>
      <c r="J12" s="12">
        <v>1</v>
      </c>
      <c r="K12" s="12"/>
      <c r="L12" s="12"/>
      <c r="M12" s="12"/>
      <c r="N12" s="12"/>
      <c r="O12" s="12"/>
      <c r="P12" s="12">
        <v>0.3</v>
      </c>
      <c r="Q12" s="12"/>
      <c r="R12" s="12">
        <v>28.1</v>
      </c>
      <c r="S12" s="12">
        <v>25.9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3">
        <f t="shared" si="0"/>
        <v>55.3</v>
      </c>
    </row>
    <row r="13" spans="1:90" ht="24.75" customHeight="1">
      <c r="A13" s="48"/>
      <c r="B13" s="45" t="s">
        <v>134</v>
      </c>
      <c r="C13" s="46"/>
      <c r="D13" s="39">
        <v>150</v>
      </c>
      <c r="E13" s="40"/>
      <c r="F13" s="12"/>
      <c r="G13" s="12"/>
      <c r="H13" s="12"/>
      <c r="I13" s="12"/>
      <c r="J13" s="12"/>
      <c r="K13" s="12">
        <v>8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>
        <v>42.9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3">
        <f t="shared" si="0"/>
        <v>50.9</v>
      </c>
    </row>
    <row r="14" spans="1:90" ht="24.75" customHeight="1">
      <c r="A14" s="48"/>
      <c r="B14" s="28" t="s">
        <v>94</v>
      </c>
      <c r="C14" s="29"/>
      <c r="D14" s="37">
        <v>60</v>
      </c>
      <c r="E14" s="38"/>
      <c r="F14" s="12">
        <v>60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3">
        <f t="shared" si="0"/>
        <v>60</v>
      </c>
    </row>
    <row r="15" spans="1:90" ht="24.75" hidden="1" customHeight="1">
      <c r="A15" s="48"/>
      <c r="B15" s="28"/>
      <c r="C15" s="29"/>
      <c r="D15" s="37"/>
      <c r="E15" s="38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3">
        <f t="shared" si="0"/>
        <v>0</v>
      </c>
    </row>
    <row r="16" spans="1:90" ht="24.75" hidden="1" customHeight="1">
      <c r="A16" s="48"/>
      <c r="B16" s="28"/>
      <c r="C16" s="29"/>
      <c r="D16" s="37"/>
      <c r="E16" s="3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3">
        <f t="shared" si="0"/>
        <v>0</v>
      </c>
    </row>
    <row r="17" spans="1:90" ht="24.75" hidden="1" customHeight="1">
      <c r="A17" s="49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3">
        <f t="shared" si="0"/>
        <v>0</v>
      </c>
    </row>
    <row r="18" spans="1:90" ht="24.75" customHeight="1">
      <c r="A18" s="57" t="s">
        <v>95</v>
      </c>
      <c r="B18" s="41" t="s">
        <v>162</v>
      </c>
      <c r="C18" s="41"/>
      <c r="D18" s="52">
        <v>60</v>
      </c>
      <c r="E18" s="52"/>
      <c r="F18" s="12"/>
      <c r="G18" s="12"/>
      <c r="H18" s="12"/>
      <c r="I18" s="12"/>
      <c r="J18" s="12"/>
      <c r="K18" s="12">
        <v>16.2</v>
      </c>
      <c r="L18" s="12"/>
      <c r="N18" s="12"/>
      <c r="O18" s="12"/>
      <c r="P18" s="12">
        <v>0.4</v>
      </c>
      <c r="Q18" s="12">
        <v>10.8</v>
      </c>
      <c r="R18" s="12"/>
      <c r="S18" s="12"/>
      <c r="T18" s="12">
        <v>7.6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>
        <v>6.5</v>
      </c>
      <c r="AR18" s="12"/>
      <c r="AS18" s="12"/>
      <c r="AT18" s="12"/>
      <c r="AU18" s="12"/>
      <c r="AV18" s="12"/>
      <c r="AW18" s="12"/>
      <c r="AX18" s="12"/>
      <c r="AY18" s="12"/>
      <c r="AZ18" s="12">
        <v>21.6</v>
      </c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>
        <v>1.2</v>
      </c>
      <c r="BP18" s="12">
        <v>1.5</v>
      </c>
      <c r="BQ18" s="12">
        <v>0.02</v>
      </c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3">
        <f t="shared" si="0"/>
        <v>65.819999999999993</v>
      </c>
    </row>
    <row r="19" spans="1:90" ht="24.75" customHeight="1">
      <c r="A19" s="58"/>
      <c r="B19" s="41" t="s">
        <v>115</v>
      </c>
      <c r="C19" s="41"/>
      <c r="D19" s="52">
        <v>150</v>
      </c>
      <c r="E19" s="5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>
        <v>150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3">
        <f t="shared" si="0"/>
        <v>150</v>
      </c>
    </row>
    <row r="20" spans="1:90" ht="24.75" hidden="1" customHeight="1">
      <c r="A20" s="58"/>
      <c r="B20" s="50"/>
      <c r="C20" s="51"/>
      <c r="D20" s="37"/>
      <c r="E20" s="38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3">
        <f t="shared" si="0"/>
        <v>0</v>
      </c>
    </row>
    <row r="21" spans="1:90" ht="24" hidden="1" customHeight="1">
      <c r="A21" s="59"/>
      <c r="B21" s="45"/>
      <c r="C21" s="46"/>
      <c r="D21" s="37"/>
      <c r="E21" s="3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3">
        <f t="shared" si="0"/>
        <v>0</v>
      </c>
    </row>
    <row r="22" spans="1:90" ht="24.75" hidden="1" customHeight="1">
      <c r="A22" s="60"/>
      <c r="B22" s="28"/>
      <c r="C22" s="29"/>
      <c r="D22" s="52"/>
      <c r="E22" s="5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3">
        <f t="shared" si="0"/>
        <v>0</v>
      </c>
    </row>
    <row r="23" spans="1:90" ht="24.75" hidden="1" customHeight="1">
      <c r="A23" s="60"/>
      <c r="B23" s="28"/>
      <c r="C23" s="29"/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3">
        <f t="shared" si="0"/>
        <v>0</v>
      </c>
    </row>
    <row r="24" spans="1:90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3">
        <f t="shared" si="0"/>
        <v>0</v>
      </c>
    </row>
    <row r="25" spans="1:90" ht="0.75" customHeight="1">
      <c r="A25" s="60"/>
      <c r="B25" s="33"/>
      <c r="C25" s="33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3">
        <f t="shared" si="0"/>
        <v>0</v>
      </c>
    </row>
    <row r="26" spans="1:90" ht="18.75" customHeight="1">
      <c r="A26" s="53" t="s">
        <v>100</v>
      </c>
      <c r="B26" s="54"/>
      <c r="C26" s="54"/>
      <c r="D26" s="55"/>
      <c r="E26" s="18"/>
      <c r="F26" s="19">
        <f t="shared" ref="F26:BQ26" si="1">SUM(F6:F21)</f>
        <v>100</v>
      </c>
      <c r="G26" s="19">
        <f t="shared" si="1"/>
        <v>0.2</v>
      </c>
      <c r="H26" s="19">
        <f t="shared" si="1"/>
        <v>81.5</v>
      </c>
      <c r="I26" s="19">
        <f t="shared" si="1"/>
        <v>0</v>
      </c>
      <c r="J26" s="19">
        <f t="shared" si="1"/>
        <v>14</v>
      </c>
      <c r="K26" s="19">
        <f t="shared" si="1"/>
        <v>27.7</v>
      </c>
      <c r="L26" s="19">
        <f t="shared" si="1"/>
        <v>41</v>
      </c>
      <c r="M26" s="19">
        <f t="shared" si="1"/>
        <v>35</v>
      </c>
      <c r="N26" s="19">
        <f t="shared" si="1"/>
        <v>39</v>
      </c>
      <c r="O26" s="19">
        <f t="shared" si="1"/>
        <v>21.5</v>
      </c>
      <c r="P26" s="19">
        <f t="shared" si="1"/>
        <v>3.55</v>
      </c>
      <c r="Q26" s="19">
        <f t="shared" si="1"/>
        <v>18.8</v>
      </c>
      <c r="R26" s="19">
        <f t="shared" si="1"/>
        <v>28.1</v>
      </c>
      <c r="S26" s="19">
        <f t="shared" si="1"/>
        <v>25.9</v>
      </c>
      <c r="T26" s="19">
        <f t="shared" si="1"/>
        <v>62.6</v>
      </c>
      <c r="U26" s="19">
        <f t="shared" si="1"/>
        <v>150</v>
      </c>
      <c r="V26" s="19">
        <f t="shared" si="1"/>
        <v>0</v>
      </c>
      <c r="W26" s="19">
        <f t="shared" si="1"/>
        <v>63</v>
      </c>
      <c r="X26" s="19">
        <f t="shared" si="1"/>
        <v>0</v>
      </c>
      <c r="Y26" s="19">
        <f t="shared" si="1"/>
        <v>0</v>
      </c>
      <c r="Z26" s="19">
        <f t="shared" si="1"/>
        <v>6.3</v>
      </c>
      <c r="AA26" s="19">
        <f t="shared" si="1"/>
        <v>0</v>
      </c>
      <c r="AB26" s="19">
        <f t="shared" si="1"/>
        <v>42.9</v>
      </c>
      <c r="AC26" s="19">
        <f t="shared" si="1"/>
        <v>0</v>
      </c>
      <c r="AD26" s="19">
        <f t="shared" si="1"/>
        <v>0</v>
      </c>
      <c r="AE26" s="19">
        <f t="shared" si="1"/>
        <v>0</v>
      </c>
      <c r="AF26" s="19">
        <f t="shared" si="1"/>
        <v>0</v>
      </c>
      <c r="AG26" s="19">
        <f t="shared" si="1"/>
        <v>0</v>
      </c>
      <c r="AH26" s="19">
        <f t="shared" si="1"/>
        <v>0</v>
      </c>
      <c r="AI26" s="19">
        <f t="shared" si="1"/>
        <v>0.33</v>
      </c>
      <c r="AJ26" s="19">
        <f t="shared" si="1"/>
        <v>3</v>
      </c>
      <c r="AK26" s="19">
        <f t="shared" si="1"/>
        <v>0</v>
      </c>
      <c r="AL26" s="19">
        <f t="shared" si="1"/>
        <v>0</v>
      </c>
      <c r="AM26" s="19">
        <f t="shared" si="1"/>
        <v>0</v>
      </c>
      <c r="AN26" s="19">
        <f t="shared" si="1"/>
        <v>17.3</v>
      </c>
      <c r="AO26" s="19">
        <f t="shared" si="1"/>
        <v>0</v>
      </c>
      <c r="AP26" s="19">
        <f t="shared" si="1"/>
        <v>0</v>
      </c>
      <c r="AQ26" s="19">
        <f t="shared" si="1"/>
        <v>6.5</v>
      </c>
      <c r="AR26" s="19">
        <f t="shared" si="1"/>
        <v>0</v>
      </c>
      <c r="AS26" s="19">
        <f t="shared" si="1"/>
        <v>0</v>
      </c>
      <c r="AT26" s="19">
        <f t="shared" si="1"/>
        <v>1.8</v>
      </c>
      <c r="AU26" s="19">
        <f t="shared" si="1"/>
        <v>0</v>
      </c>
      <c r="AV26" s="19">
        <f t="shared" si="1"/>
        <v>25</v>
      </c>
      <c r="AW26" s="19">
        <f t="shared" si="1"/>
        <v>0</v>
      </c>
      <c r="AX26" s="19">
        <f t="shared" si="1"/>
        <v>0</v>
      </c>
      <c r="AY26" s="19">
        <f t="shared" si="1"/>
        <v>0</v>
      </c>
      <c r="AZ26" s="19">
        <f t="shared" si="1"/>
        <v>21.6</v>
      </c>
      <c r="BA26" s="19">
        <f t="shared" si="1"/>
        <v>0.5</v>
      </c>
      <c r="BB26" s="19">
        <f t="shared" si="1"/>
        <v>0</v>
      </c>
      <c r="BC26" s="19">
        <f t="shared" si="1"/>
        <v>0</v>
      </c>
      <c r="BD26" s="19">
        <f t="shared" si="1"/>
        <v>0</v>
      </c>
      <c r="BE26" s="19">
        <f t="shared" si="1"/>
        <v>25</v>
      </c>
      <c r="BF26" s="19">
        <f t="shared" si="1"/>
        <v>0</v>
      </c>
      <c r="BG26" s="19">
        <f t="shared" si="1"/>
        <v>0</v>
      </c>
      <c r="BH26" s="19">
        <f t="shared" si="1"/>
        <v>0</v>
      </c>
      <c r="BI26" s="19">
        <f t="shared" si="1"/>
        <v>0</v>
      </c>
      <c r="BJ26" s="19">
        <f t="shared" si="1"/>
        <v>0</v>
      </c>
      <c r="BK26" s="19">
        <f t="shared" si="1"/>
        <v>0</v>
      </c>
      <c r="BL26" s="19">
        <f t="shared" si="1"/>
        <v>0</v>
      </c>
      <c r="BM26" s="19">
        <f t="shared" si="1"/>
        <v>0</v>
      </c>
      <c r="BN26" s="19">
        <f t="shared" si="1"/>
        <v>0</v>
      </c>
      <c r="BO26" s="19">
        <f t="shared" si="1"/>
        <v>1.2</v>
      </c>
      <c r="BP26" s="19">
        <f t="shared" si="1"/>
        <v>1.5</v>
      </c>
      <c r="BQ26" s="20">
        <f t="shared" si="1"/>
        <v>0.02</v>
      </c>
      <c r="BR26" s="19">
        <f t="shared" ref="BR26:CK26" si="2">SUM(BR6:BR21)</f>
        <v>0</v>
      </c>
      <c r="BS26" s="19">
        <f t="shared" si="2"/>
        <v>0</v>
      </c>
      <c r="BT26" s="19">
        <f t="shared" si="2"/>
        <v>0</v>
      </c>
      <c r="BU26" s="19">
        <f t="shared" si="2"/>
        <v>0</v>
      </c>
      <c r="BV26" s="19">
        <f t="shared" si="2"/>
        <v>0</v>
      </c>
      <c r="BW26" s="19">
        <f t="shared" si="2"/>
        <v>0</v>
      </c>
      <c r="BX26" s="19">
        <f t="shared" si="2"/>
        <v>0</v>
      </c>
      <c r="BY26" s="19">
        <f t="shared" si="2"/>
        <v>0</v>
      </c>
      <c r="BZ26" s="19">
        <f t="shared" si="2"/>
        <v>0</v>
      </c>
      <c r="CA26" s="19">
        <f t="shared" si="2"/>
        <v>0</v>
      </c>
      <c r="CB26" s="19">
        <f t="shared" si="2"/>
        <v>0</v>
      </c>
      <c r="CC26" s="19">
        <f t="shared" si="2"/>
        <v>0</v>
      </c>
      <c r="CD26" s="19">
        <f t="shared" si="2"/>
        <v>0</v>
      </c>
      <c r="CE26" s="19">
        <f t="shared" si="2"/>
        <v>0</v>
      </c>
      <c r="CF26" s="19">
        <f t="shared" si="2"/>
        <v>0</v>
      </c>
      <c r="CG26" s="19">
        <f t="shared" si="2"/>
        <v>0</v>
      </c>
      <c r="CH26" s="19">
        <f t="shared" si="2"/>
        <v>0</v>
      </c>
      <c r="CI26" s="19">
        <f t="shared" si="2"/>
        <v>0</v>
      </c>
      <c r="CJ26" s="19">
        <f t="shared" si="2"/>
        <v>0</v>
      </c>
      <c r="CK26" s="19">
        <f t="shared" si="2"/>
        <v>0</v>
      </c>
      <c r="CL26" s="13"/>
    </row>
    <row r="27" spans="1:90" ht="18.75" hidden="1" customHeight="1">
      <c r="A27" s="15"/>
      <c r="B27" s="16"/>
      <c r="C27" s="16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20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3"/>
    </row>
    <row r="28" spans="1:90" ht="18.75" hidden="1" customHeight="1">
      <c r="A28" s="15"/>
      <c r="B28" s="16"/>
      <c r="C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20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3"/>
    </row>
    <row r="29" spans="1:90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20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3"/>
    </row>
    <row r="30" spans="1:90" ht="18.75" customHeight="1">
      <c r="A30" s="53" t="s">
        <v>101</v>
      </c>
      <c r="B30" s="54"/>
      <c r="C30" s="54"/>
      <c r="D30" s="55"/>
      <c r="E30" s="18"/>
      <c r="F30" s="20">
        <f>+F26*$A$4/1000</f>
        <v>0</v>
      </c>
      <c r="G30" s="20">
        <f t="shared" ref="G30:BR30" si="3">+G26*$A$4/1000</f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4">
        <f>+T26*$A$4/55</f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0</v>
      </c>
      <c r="AD30" s="20">
        <f t="shared" si="3"/>
        <v>0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20">
        <f t="shared" si="3"/>
        <v>0</v>
      </c>
      <c r="AO30" s="20">
        <f t="shared" si="3"/>
        <v>0</v>
      </c>
      <c r="AP30" s="20">
        <f t="shared" si="3"/>
        <v>0</v>
      </c>
      <c r="AQ30" s="20">
        <f t="shared" si="3"/>
        <v>0</v>
      </c>
      <c r="AR30" s="20">
        <f t="shared" si="3"/>
        <v>0</v>
      </c>
      <c r="AS30" s="20">
        <f t="shared" si="3"/>
        <v>0</v>
      </c>
      <c r="AT30" s="20">
        <f t="shared" si="3"/>
        <v>0</v>
      </c>
      <c r="AU30" s="20">
        <f t="shared" si="3"/>
        <v>0</v>
      </c>
      <c r="AV30" s="20">
        <f t="shared" si="3"/>
        <v>0</v>
      </c>
      <c r="AW30" s="20">
        <f t="shared" si="3"/>
        <v>0</v>
      </c>
      <c r="AX30" s="20">
        <f t="shared" si="3"/>
        <v>0</v>
      </c>
      <c r="AY30" s="20">
        <f t="shared" si="3"/>
        <v>0</v>
      </c>
      <c r="AZ30" s="20">
        <f t="shared" si="3"/>
        <v>0</v>
      </c>
      <c r="BA30" s="20">
        <f t="shared" si="3"/>
        <v>0</v>
      </c>
      <c r="BB30" s="20">
        <f t="shared" si="3"/>
        <v>0</v>
      </c>
      <c r="BC30" s="20">
        <f t="shared" si="3"/>
        <v>0</v>
      </c>
      <c r="BD30" s="20">
        <f t="shared" si="3"/>
        <v>0</v>
      </c>
      <c r="BE30" s="20">
        <f t="shared" si="3"/>
        <v>0</v>
      </c>
      <c r="BF30" s="20">
        <f t="shared" si="3"/>
        <v>0</v>
      </c>
      <c r="BG30" s="20">
        <f t="shared" si="3"/>
        <v>0</v>
      </c>
      <c r="BH30" s="20">
        <f t="shared" si="3"/>
        <v>0</v>
      </c>
      <c r="BI30" s="20">
        <f t="shared" si="3"/>
        <v>0</v>
      </c>
      <c r="BJ30" s="20">
        <f t="shared" si="3"/>
        <v>0</v>
      </c>
      <c r="BK30" s="20">
        <f t="shared" si="3"/>
        <v>0</v>
      </c>
      <c r="BL30" s="20">
        <f t="shared" si="3"/>
        <v>0</v>
      </c>
      <c r="BM30" s="20">
        <f t="shared" si="3"/>
        <v>0</v>
      </c>
      <c r="BN30" s="20">
        <f t="shared" si="3"/>
        <v>0</v>
      </c>
      <c r="BO30" s="20">
        <f t="shared" si="3"/>
        <v>0</v>
      </c>
      <c r="BP30" s="20">
        <f t="shared" si="3"/>
        <v>0</v>
      </c>
      <c r="BQ30" s="20">
        <f t="shared" si="3"/>
        <v>0</v>
      </c>
      <c r="BR30" s="20">
        <f t="shared" si="3"/>
        <v>0</v>
      </c>
      <c r="BS30" s="20">
        <f t="shared" ref="BS30:CK30" si="4">+BS26*$A$4/1000</f>
        <v>0</v>
      </c>
      <c r="BT30" s="20">
        <f t="shared" si="4"/>
        <v>0</v>
      </c>
      <c r="BU30" s="20">
        <f t="shared" si="4"/>
        <v>0</v>
      </c>
      <c r="BV30" s="20">
        <f t="shared" si="4"/>
        <v>0</v>
      </c>
      <c r="BW30" s="20">
        <f t="shared" si="4"/>
        <v>0</v>
      </c>
      <c r="BX30" s="20">
        <f t="shared" si="4"/>
        <v>0</v>
      </c>
      <c r="BY30" s="20">
        <f t="shared" si="4"/>
        <v>0</v>
      </c>
      <c r="BZ30" s="20">
        <f t="shared" si="4"/>
        <v>0</v>
      </c>
      <c r="CA30" s="20">
        <f t="shared" si="4"/>
        <v>0</v>
      </c>
      <c r="CB30" s="20">
        <f t="shared" si="4"/>
        <v>0</v>
      </c>
      <c r="CC30" s="20">
        <f t="shared" si="4"/>
        <v>0</v>
      </c>
      <c r="CD30" s="20">
        <f t="shared" si="4"/>
        <v>0</v>
      </c>
      <c r="CE30" s="20">
        <f t="shared" si="4"/>
        <v>0</v>
      </c>
      <c r="CF30" s="20">
        <f t="shared" si="4"/>
        <v>0</v>
      </c>
      <c r="CG30" s="20">
        <f t="shared" si="4"/>
        <v>0</v>
      </c>
      <c r="CH30" s="20">
        <f t="shared" si="4"/>
        <v>0</v>
      </c>
      <c r="CI30" s="20">
        <f t="shared" si="4"/>
        <v>0</v>
      </c>
      <c r="CJ30" s="20">
        <f t="shared" si="4"/>
        <v>0</v>
      </c>
      <c r="CK30" s="20">
        <f t="shared" si="4"/>
        <v>0</v>
      </c>
      <c r="CL30" s="13"/>
    </row>
    <row r="31" spans="1:9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21"/>
    </row>
    <row r="32" spans="1:90">
      <c r="A32" s="22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31" t="s">
        <v>103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</row>
  </sheetData>
  <mergeCells count="67">
    <mergeCell ref="A10:A17"/>
    <mergeCell ref="A18:A21"/>
    <mergeCell ref="A22:A25"/>
    <mergeCell ref="B23:C23"/>
    <mergeCell ref="B20:C20"/>
    <mergeCell ref="B11:C11"/>
    <mergeCell ref="B10:C10"/>
    <mergeCell ref="D23:E23"/>
    <mergeCell ref="B24:C24"/>
    <mergeCell ref="D24:E24"/>
    <mergeCell ref="B25:C25"/>
    <mergeCell ref="D25:E25"/>
    <mergeCell ref="A26:D26"/>
    <mergeCell ref="A30:D30"/>
    <mergeCell ref="F32:AE32"/>
    <mergeCell ref="AF32:CL32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D20:E20"/>
    <mergeCell ref="B21:C21"/>
    <mergeCell ref="D21:E21"/>
    <mergeCell ref="B22:C22"/>
    <mergeCell ref="D22:E22"/>
    <mergeCell ref="A5:C5"/>
    <mergeCell ref="D5:E5"/>
    <mergeCell ref="B6:C6"/>
    <mergeCell ref="D6:E6"/>
    <mergeCell ref="B7:C7"/>
    <mergeCell ref="D7:E7"/>
    <mergeCell ref="A6:A9"/>
    <mergeCell ref="B8:C8"/>
    <mergeCell ref="D8:E8"/>
    <mergeCell ref="B9:C9"/>
    <mergeCell ref="D9:E9"/>
    <mergeCell ref="D10:E10"/>
    <mergeCell ref="D11:E11"/>
    <mergeCell ref="B12:C12"/>
    <mergeCell ref="D12:E12"/>
    <mergeCell ref="B13:C13"/>
    <mergeCell ref="D13:E13"/>
    <mergeCell ref="A1:B1"/>
    <mergeCell ref="F1:U1"/>
    <mergeCell ref="V1:CL1"/>
    <mergeCell ref="F2:U2"/>
    <mergeCell ref="V2:CL2"/>
    <mergeCell ref="V3:CL3"/>
    <mergeCell ref="A4:B4"/>
    <mergeCell ref="D4:E4"/>
    <mergeCell ref="F4:K4"/>
    <mergeCell ref="L4:P4"/>
    <mergeCell ref="Q4:U4"/>
    <mergeCell ref="V4:BK4"/>
    <mergeCell ref="A3:B3"/>
    <mergeCell ref="D3:E3"/>
    <mergeCell ref="F3:K3"/>
    <mergeCell ref="L3:P3"/>
    <mergeCell ref="Q3:U3"/>
  </mergeCells>
  <pageMargins left="0.196850393700787" right="0.196850393700787" top="1.5748031496063" bottom="1.9685039370078701" header="0.118110236220472" footer="0.118110236220472"/>
  <pageSetup paperSize="9" scale="68" fitToHeight="2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9">
    <pageSetUpPr fitToPage="1"/>
  </sheetPr>
  <dimension ref="A1:CP32"/>
  <sheetViews>
    <sheetView view="pageBreakPreview" zoomScale="85" zoomScaleNormal="80" workbookViewId="0">
      <pane xSplit="5" ySplit="5" topLeftCell="F6" activePane="bottomRight" state="frozen"/>
      <selection pane="topRight"/>
      <selection pane="bottomLeft"/>
      <selection pane="bottomRight" activeCell="V2" sqref="V2:CL2"/>
    </sheetView>
  </sheetViews>
  <sheetFormatPr defaultColWidth="9.140625" defaultRowHeight="11.25"/>
  <cols>
    <col min="1" max="1" width="10.140625" style="1" customWidth="1"/>
    <col min="2" max="2" width="11.7109375" style="1" customWidth="1"/>
    <col min="3" max="3" width="9.5703125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customWidth="1"/>
    <col min="8" max="8" width="6.85546875" style="1" customWidth="1"/>
    <col min="9" max="9" width="5.28515625" style="1" hidden="1" customWidth="1"/>
    <col min="10" max="10" width="5.28515625" style="1" customWidth="1"/>
    <col min="11" max="11" width="5.85546875" style="1" customWidth="1"/>
    <col min="12" max="12" width="5.7109375" style="1" customWidth="1"/>
    <col min="13" max="13" width="6" style="1" hidden="1" customWidth="1"/>
    <col min="14" max="14" width="5.140625" style="1" hidden="1" customWidth="1"/>
    <col min="15" max="15" width="5.7109375" style="1" customWidth="1"/>
    <col min="16" max="16" width="4.7109375" style="1" customWidth="1"/>
    <col min="17" max="17" width="6" style="1" customWidth="1"/>
    <col min="18" max="19" width="5.5703125" style="1" customWidth="1"/>
    <col min="20" max="20" width="5.7109375" style="1" customWidth="1"/>
    <col min="21" max="21" width="5.7109375" style="1" hidden="1" customWidth="1"/>
    <col min="22" max="22" width="4.85546875" style="1" hidden="1" customWidth="1"/>
    <col min="23" max="23" width="6" style="1" customWidth="1"/>
    <col min="24" max="24" width="5.28515625" style="1" customWidth="1"/>
    <col min="25" max="25" width="5.85546875" style="1" hidden="1" customWidth="1"/>
    <col min="26" max="26" width="5.5703125" style="1" hidden="1" customWidth="1"/>
    <col min="27" max="27" width="6.42578125" style="1" hidden="1" customWidth="1"/>
    <col min="28" max="28" width="6.5703125" style="1" customWidth="1"/>
    <col min="29" max="29" width="4.85546875" style="1" customWidth="1"/>
    <col min="30" max="30" width="4.85546875" style="1" hidden="1" customWidth="1"/>
    <col min="31" max="31" width="4.85546875" style="1" customWidth="1"/>
    <col min="32" max="32" width="5.7109375" style="1" hidden="1" customWidth="1"/>
    <col min="33" max="33" width="5.28515625" style="1" hidden="1" customWidth="1"/>
    <col min="34" max="34" width="5.42578125" style="1" hidden="1" customWidth="1"/>
    <col min="35" max="35" width="5" style="1" customWidth="1"/>
    <col min="36" max="36" width="5.28515625" style="1" hidden="1" customWidth="1"/>
    <col min="37" max="37" width="4.85546875" style="1" hidden="1" customWidth="1"/>
    <col min="38" max="38" width="5.85546875" style="1" customWidth="1"/>
    <col min="39" max="40" width="4.85546875" style="1" hidden="1" customWidth="1"/>
    <col min="41" max="41" width="4.7109375" style="1" hidden="1" customWidth="1"/>
    <col min="42" max="42" width="5.42578125" style="1" hidden="1" customWidth="1"/>
    <col min="43" max="43" width="5.42578125" style="1" customWidth="1"/>
    <col min="44" max="44" width="6.140625" style="1" hidden="1" customWidth="1"/>
    <col min="45" max="45" width="4.85546875" style="1" customWidth="1"/>
    <col min="46" max="46" width="4.85546875" style="1" hidden="1" customWidth="1"/>
    <col min="47" max="47" width="5.42578125" style="1" hidden="1" customWidth="1"/>
    <col min="48" max="48" width="5.140625" style="1" customWidth="1"/>
    <col min="49" max="49" width="5.28515625" style="1" customWidth="1"/>
    <col min="50" max="51" width="5.42578125" style="1" hidden="1" customWidth="1"/>
    <col min="52" max="53" width="5.7109375" style="1" customWidth="1"/>
    <col min="54" max="63" width="4.85546875" style="1" hidden="1" customWidth="1"/>
    <col min="64" max="64" width="5.85546875" style="1" hidden="1" customWidth="1"/>
    <col min="65" max="65" width="6" style="1" hidden="1" customWidth="1"/>
    <col min="66" max="66" width="4.85546875" style="1" hidden="1" customWidth="1"/>
    <col min="67" max="67" width="5.42578125" style="1" hidden="1" customWidth="1"/>
    <col min="68" max="68" width="4.85546875" style="1" hidden="1" customWidth="1"/>
    <col min="69" max="69" width="5.28515625" style="1" hidden="1" customWidth="1"/>
    <col min="70" max="70" width="6.140625" style="1" hidden="1" customWidth="1"/>
    <col min="71" max="71" width="4.85546875" style="1" hidden="1" customWidth="1"/>
    <col min="72" max="72" width="5.42578125" style="1" customWidth="1"/>
    <col min="73" max="73" width="4.85546875" style="1" hidden="1" customWidth="1"/>
    <col min="74" max="74" width="5" style="1" customWidth="1"/>
    <col min="75" max="77" width="4.85546875" style="1" hidden="1" customWidth="1"/>
    <col min="78" max="78" width="5.42578125" style="1" hidden="1" customWidth="1"/>
    <col min="79" max="79" width="5.85546875" style="1" hidden="1" customWidth="1"/>
    <col min="80" max="80" width="5" style="1" hidden="1" customWidth="1"/>
    <col min="81" max="81" width="5" style="1" customWidth="1"/>
    <col min="82" max="84" width="4.85546875" style="1" hidden="1" customWidth="1"/>
    <col min="85" max="85" width="4.85546875" style="1" customWidth="1"/>
    <col min="86" max="89" width="4.85546875" style="1" hidden="1" customWidth="1"/>
    <col min="90" max="90" width="10.28515625" style="1" customWidth="1"/>
    <col min="91" max="94" width="9" style="1" hidden="1" customWidth="1"/>
    <col min="95" max="16384" width="9.140625" style="1"/>
  </cols>
  <sheetData>
    <row r="1" spans="1:90" ht="15.75">
      <c r="A1" s="34">
        <v>46307</v>
      </c>
      <c r="B1" s="34"/>
      <c r="C1" s="2"/>
      <c r="E1" s="3"/>
      <c r="F1" s="35" t="str">
        <f>'1'!F1:U1</f>
        <v xml:space="preserve"> -МТТ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</row>
    <row r="2" spans="1:90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</row>
    <row r="3" spans="1:90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0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</row>
    <row r="5" spans="1:90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71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 t="s">
        <v>85</v>
      </c>
      <c r="CH5" s="7"/>
      <c r="CI5" s="7"/>
      <c r="CJ5" s="7"/>
      <c r="CK5" s="7"/>
      <c r="CL5" s="10" t="s">
        <v>87</v>
      </c>
    </row>
    <row r="6" spans="1:90" ht="24.75" customHeight="1">
      <c r="A6" s="47" t="s">
        <v>88</v>
      </c>
      <c r="B6" s="45" t="s">
        <v>116</v>
      </c>
      <c r="C6" s="46"/>
      <c r="D6" s="37">
        <v>150</v>
      </c>
      <c r="E6" s="38"/>
      <c r="F6" s="12"/>
      <c r="G6" s="12"/>
      <c r="H6" s="12"/>
      <c r="I6" s="12"/>
      <c r="J6" s="12"/>
      <c r="K6" s="12">
        <v>5</v>
      </c>
      <c r="L6" s="12"/>
      <c r="M6" s="12"/>
      <c r="N6" s="12"/>
      <c r="O6" s="12"/>
      <c r="P6" s="12">
        <v>0.75</v>
      </c>
      <c r="Q6" s="12">
        <v>4.5</v>
      </c>
      <c r="R6" s="12"/>
      <c r="S6" s="12"/>
      <c r="T6" s="12"/>
      <c r="U6" s="12"/>
      <c r="V6" s="12"/>
      <c r="W6" s="12">
        <v>150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>
        <v>18</v>
      </c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3">
        <f t="shared" ref="CL6:CL26" si="0">SUM(F6:CK6)</f>
        <v>178.25</v>
      </c>
    </row>
    <row r="7" spans="1:90" ht="24.75" customHeight="1">
      <c r="A7" s="48"/>
      <c r="B7" s="28" t="s">
        <v>157</v>
      </c>
      <c r="C7" s="29"/>
      <c r="D7" s="37">
        <v>150</v>
      </c>
      <c r="E7" s="38"/>
      <c r="F7" s="12"/>
      <c r="G7" s="12">
        <v>0.2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>
        <v>11</v>
      </c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3">
        <f t="shared" si="0"/>
        <v>11.2</v>
      </c>
    </row>
    <row r="8" spans="1:90" ht="24.75" customHeight="1">
      <c r="A8" s="48"/>
      <c r="B8" s="28" t="s">
        <v>151</v>
      </c>
      <c r="C8" s="29"/>
      <c r="D8" s="37">
        <v>50</v>
      </c>
      <c r="E8" s="38"/>
      <c r="F8" s="12">
        <v>30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5</v>
      </c>
      <c r="R8" s="12"/>
      <c r="S8" s="12"/>
      <c r="T8" s="12"/>
      <c r="U8" s="12"/>
      <c r="V8" s="12"/>
      <c r="W8" s="12"/>
      <c r="X8" s="12">
        <v>16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3">
        <f t="shared" si="0"/>
        <v>51</v>
      </c>
    </row>
    <row r="9" spans="1:90" ht="24.75" hidden="1" customHeight="1">
      <c r="A9" s="49"/>
      <c r="B9" s="28"/>
      <c r="C9" s="29"/>
      <c r="D9" s="37"/>
      <c r="E9" s="3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3">
        <f t="shared" si="0"/>
        <v>0</v>
      </c>
    </row>
    <row r="10" spans="1:90" ht="26.25" customHeight="1">
      <c r="A10" s="47" t="s">
        <v>90</v>
      </c>
      <c r="B10" s="45" t="s">
        <v>163</v>
      </c>
      <c r="C10" s="46"/>
      <c r="D10" s="37" t="s">
        <v>164</v>
      </c>
      <c r="E10" s="38"/>
      <c r="F10" s="12"/>
      <c r="G10" s="12"/>
      <c r="H10" s="12">
        <v>23.1</v>
      </c>
      <c r="I10" s="12"/>
      <c r="J10" s="12">
        <v>4</v>
      </c>
      <c r="K10" s="12"/>
      <c r="L10" s="12"/>
      <c r="M10" s="12"/>
      <c r="N10" s="12"/>
      <c r="O10" s="12">
        <v>8.3000000000000007</v>
      </c>
      <c r="P10" s="12">
        <v>0.6</v>
      </c>
      <c r="Q10" s="12"/>
      <c r="R10" s="12"/>
      <c r="S10" s="12">
        <v>8.1999999999999993</v>
      </c>
      <c r="T10" s="12">
        <v>7</v>
      </c>
      <c r="U10" s="12"/>
      <c r="V10" s="12"/>
      <c r="W10" s="12"/>
      <c r="X10" s="12"/>
      <c r="Y10" s="12"/>
      <c r="Z10" s="12"/>
      <c r="AA10" s="12"/>
      <c r="AB10" s="12"/>
      <c r="AC10" s="12">
        <v>6.7</v>
      </c>
      <c r="AD10" s="12"/>
      <c r="AE10" s="12"/>
      <c r="AF10" s="12"/>
      <c r="AG10" s="12"/>
      <c r="AH10" s="12"/>
      <c r="AI10" s="12">
        <v>1.1000000000000001</v>
      </c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>
        <v>7.5</v>
      </c>
      <c r="AW10" s="12"/>
      <c r="AX10" s="12"/>
      <c r="AY10" s="12"/>
      <c r="AZ10" s="12">
        <v>15</v>
      </c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3">
        <f t="shared" si="0"/>
        <v>81.5</v>
      </c>
    </row>
    <row r="11" spans="1:90" ht="26.25" customHeight="1">
      <c r="A11" s="48"/>
      <c r="B11" s="61" t="s">
        <v>165</v>
      </c>
      <c r="C11" s="62"/>
      <c r="D11" s="39">
        <v>50</v>
      </c>
      <c r="E11" s="40"/>
      <c r="F11" s="12">
        <v>7</v>
      </c>
      <c r="G11" s="12"/>
      <c r="H11" s="12">
        <v>43.5</v>
      </c>
      <c r="I11" s="12"/>
      <c r="J11" s="12"/>
      <c r="K11" s="12"/>
      <c r="L11" s="12">
        <v>5</v>
      </c>
      <c r="M11" s="12"/>
      <c r="N11" s="12"/>
      <c r="O11" s="12">
        <v>11.9</v>
      </c>
      <c r="P11" s="12">
        <v>1</v>
      </c>
      <c r="Q11" s="12">
        <v>4</v>
      </c>
      <c r="R11" s="12"/>
      <c r="S11" s="12"/>
      <c r="T11" s="12">
        <v>11.6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3">
        <f t="shared" si="0"/>
        <v>84</v>
      </c>
    </row>
    <row r="12" spans="1:90" ht="26.25" customHeight="1">
      <c r="A12" s="48"/>
      <c r="B12" s="45" t="s">
        <v>166</v>
      </c>
      <c r="C12" s="46"/>
      <c r="D12" s="39">
        <v>100</v>
      </c>
      <c r="E12" s="40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>
        <v>1</v>
      </c>
      <c r="Q12" s="12">
        <v>1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>
        <v>50</v>
      </c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3">
        <f t="shared" si="0"/>
        <v>52</v>
      </c>
    </row>
    <row r="13" spans="1:90" ht="26.25" customHeight="1">
      <c r="A13" s="48"/>
      <c r="B13" s="45" t="s">
        <v>167</v>
      </c>
      <c r="C13" s="46"/>
      <c r="D13" s="39">
        <v>45</v>
      </c>
      <c r="E13" s="40"/>
      <c r="F13" s="12"/>
      <c r="G13" s="12"/>
      <c r="H13" s="12"/>
      <c r="I13" s="12"/>
      <c r="J13" s="12">
        <v>1</v>
      </c>
      <c r="K13" s="12">
        <v>1</v>
      </c>
      <c r="L13" s="12"/>
      <c r="M13" s="12"/>
      <c r="N13" s="12"/>
      <c r="O13" s="12"/>
      <c r="P13" s="12">
        <v>0.4</v>
      </c>
      <c r="Q13" s="12"/>
      <c r="R13" s="12">
        <v>12.5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>
        <v>40</v>
      </c>
      <c r="AW13" s="12"/>
      <c r="AX13" s="12"/>
      <c r="AY13" s="12"/>
      <c r="AZ13" s="12"/>
      <c r="BA13" s="12">
        <v>1.7</v>
      </c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3">
        <f t="shared" si="0"/>
        <v>56.6</v>
      </c>
    </row>
    <row r="14" spans="1:90" ht="26.25" customHeight="1">
      <c r="A14" s="48"/>
      <c r="B14" s="28" t="s">
        <v>168</v>
      </c>
      <c r="C14" s="29"/>
      <c r="D14" s="37">
        <v>150</v>
      </c>
      <c r="E14" s="38"/>
      <c r="F14" s="12"/>
      <c r="G14" s="12"/>
      <c r="H14" s="12"/>
      <c r="I14" s="12"/>
      <c r="J14" s="12"/>
      <c r="K14" s="12">
        <v>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>
        <v>3.8</v>
      </c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>
        <v>3.8</v>
      </c>
      <c r="BU14" s="12"/>
      <c r="BV14" s="12">
        <v>3.8</v>
      </c>
      <c r="BW14" s="12"/>
      <c r="BX14" s="12"/>
      <c r="BY14" s="12"/>
      <c r="BZ14" s="12"/>
      <c r="CA14" s="12"/>
      <c r="CB14" s="12"/>
      <c r="CC14" s="12">
        <v>3.8</v>
      </c>
      <c r="CD14" s="12"/>
      <c r="CE14" s="12"/>
      <c r="CF14" s="12"/>
      <c r="CG14" s="12"/>
      <c r="CH14" s="12"/>
      <c r="CI14" s="12"/>
      <c r="CJ14" s="12"/>
      <c r="CK14" s="12"/>
      <c r="CL14" s="13">
        <f t="shared" si="0"/>
        <v>23.200000000000003</v>
      </c>
    </row>
    <row r="15" spans="1:90" ht="26.25" customHeight="1">
      <c r="A15" s="48"/>
      <c r="B15" s="28" t="s">
        <v>94</v>
      </c>
      <c r="C15" s="29"/>
      <c r="D15" s="37">
        <v>50</v>
      </c>
      <c r="E15" s="38"/>
      <c r="F15" s="12">
        <v>50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3">
        <f t="shared" si="0"/>
        <v>50</v>
      </c>
    </row>
    <row r="16" spans="1:90" ht="24.75" hidden="1" customHeight="1">
      <c r="A16" s="48"/>
      <c r="B16" s="28"/>
      <c r="C16" s="29"/>
      <c r="D16" s="37"/>
      <c r="E16" s="3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3">
        <f t="shared" si="0"/>
        <v>0</v>
      </c>
    </row>
    <row r="17" spans="1:94" ht="24.75" hidden="1" customHeight="1">
      <c r="A17" s="49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3">
        <f t="shared" si="0"/>
        <v>0</v>
      </c>
    </row>
    <row r="18" spans="1:94" ht="24.75" customHeight="1">
      <c r="A18" s="57" t="s">
        <v>95</v>
      </c>
      <c r="B18" s="68" t="s">
        <v>169</v>
      </c>
      <c r="C18" s="14" t="s">
        <v>170</v>
      </c>
      <c r="D18" s="63">
        <v>75</v>
      </c>
      <c r="E18" s="64"/>
      <c r="F18" s="12"/>
      <c r="G18" s="12"/>
      <c r="H18" s="12"/>
      <c r="I18" s="12"/>
      <c r="J18" s="12"/>
      <c r="K18" s="12">
        <v>7</v>
      </c>
      <c r="L18" s="12"/>
      <c r="N18" s="12"/>
      <c r="O18" s="12"/>
      <c r="P18" s="12">
        <v>0.4</v>
      </c>
      <c r="Q18" s="12">
        <v>8</v>
      </c>
      <c r="R18" s="12"/>
      <c r="S18" s="12"/>
      <c r="T18" s="12">
        <v>7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>
        <v>1</v>
      </c>
      <c r="AT18" s="12"/>
      <c r="AU18" s="12"/>
      <c r="AV18" s="12"/>
      <c r="AW18" s="12"/>
      <c r="AX18" s="12"/>
      <c r="AY18" s="12"/>
      <c r="AZ18" s="12">
        <v>31</v>
      </c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3">
        <f t="shared" si="0"/>
        <v>54.4</v>
      </c>
    </row>
    <row r="19" spans="1:94" ht="24.75" customHeight="1">
      <c r="A19" s="58"/>
      <c r="B19" s="70"/>
      <c r="C19" s="14" t="s">
        <v>171</v>
      </c>
      <c r="D19" s="65"/>
      <c r="E19" s="66"/>
      <c r="F19" s="12"/>
      <c r="G19" s="12"/>
      <c r="H19" s="12"/>
      <c r="I19" s="12"/>
      <c r="J19" s="12"/>
      <c r="K19" s="12">
        <v>1.5</v>
      </c>
      <c r="L19" s="12"/>
      <c r="M19" s="12"/>
      <c r="N19" s="12"/>
      <c r="O19" s="12"/>
      <c r="P19" s="12"/>
      <c r="Q19" s="12">
        <v>1.5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>
        <v>33.9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>
        <v>0.5</v>
      </c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3">
        <f t="shared" si="0"/>
        <v>37.4</v>
      </c>
    </row>
    <row r="20" spans="1:94" ht="24.75" customHeight="1">
      <c r="A20" s="58"/>
      <c r="B20" s="69"/>
      <c r="C20" s="14" t="s">
        <v>97</v>
      </c>
      <c r="D20" s="39"/>
      <c r="E20" s="40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>
        <v>0.9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3">
        <f t="shared" si="0"/>
        <v>0.9</v>
      </c>
    </row>
    <row r="21" spans="1:94" ht="24.75" customHeight="1">
      <c r="A21" s="58"/>
      <c r="B21" s="45" t="s">
        <v>172</v>
      </c>
      <c r="C21" s="46"/>
      <c r="D21" s="37">
        <v>20</v>
      </c>
      <c r="E21" s="3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>
        <v>20</v>
      </c>
      <c r="CH21" s="12"/>
      <c r="CI21" s="12"/>
      <c r="CJ21" s="12"/>
      <c r="CK21" s="12"/>
      <c r="CL21" s="13">
        <f t="shared" si="0"/>
        <v>20</v>
      </c>
    </row>
    <row r="22" spans="1:94" ht="24" customHeight="1">
      <c r="A22" s="59"/>
      <c r="B22" s="41" t="s">
        <v>7</v>
      </c>
      <c r="C22" s="41"/>
      <c r="D22" s="52">
        <v>150</v>
      </c>
      <c r="E22" s="52"/>
      <c r="F22" s="12"/>
      <c r="G22" s="12">
        <v>0.2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3">
        <f t="shared" si="0"/>
        <v>0.2</v>
      </c>
    </row>
    <row r="23" spans="1:94" ht="24.75" hidden="1" customHeight="1">
      <c r="A23" s="60"/>
      <c r="B23" s="28"/>
      <c r="C23" s="29"/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3">
        <f t="shared" si="0"/>
        <v>0</v>
      </c>
    </row>
    <row r="24" spans="1:94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3">
        <f t="shared" si="0"/>
        <v>0</v>
      </c>
    </row>
    <row r="25" spans="1:94" ht="24.75" hidden="1" customHeight="1">
      <c r="A25" s="60"/>
      <c r="B25" s="28"/>
      <c r="C25" s="29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3">
        <f t="shared" si="0"/>
        <v>0</v>
      </c>
    </row>
    <row r="26" spans="1:94" ht="0.75" customHeight="1">
      <c r="A26" s="60"/>
      <c r="B26" s="33"/>
      <c r="C26" s="33"/>
      <c r="D26" s="52"/>
      <c r="E26" s="5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3">
        <f t="shared" si="0"/>
        <v>0</v>
      </c>
    </row>
    <row r="27" spans="1:94" ht="18.75" customHeight="1">
      <c r="A27" s="53" t="s">
        <v>100</v>
      </c>
      <c r="B27" s="54"/>
      <c r="C27" s="54"/>
      <c r="D27" s="55"/>
      <c r="E27" s="18"/>
      <c r="F27" s="19">
        <f t="shared" ref="F27:BQ27" si="1">SUM(F6:F22)</f>
        <v>87</v>
      </c>
      <c r="G27" s="19">
        <f t="shared" si="1"/>
        <v>0.4</v>
      </c>
      <c r="H27" s="19">
        <f t="shared" si="1"/>
        <v>66.599999999999994</v>
      </c>
      <c r="I27" s="19">
        <f t="shared" si="1"/>
        <v>0</v>
      </c>
      <c r="J27" s="19">
        <f t="shared" si="1"/>
        <v>5</v>
      </c>
      <c r="K27" s="19">
        <f t="shared" si="1"/>
        <v>22.5</v>
      </c>
      <c r="L27" s="19">
        <f t="shared" si="1"/>
        <v>5</v>
      </c>
      <c r="M27" s="19">
        <f t="shared" si="1"/>
        <v>0</v>
      </c>
      <c r="N27" s="19">
        <f t="shared" si="1"/>
        <v>0</v>
      </c>
      <c r="O27" s="19">
        <f t="shared" si="1"/>
        <v>20.200000000000003</v>
      </c>
      <c r="P27" s="19">
        <f t="shared" si="1"/>
        <v>4.1500000000000004</v>
      </c>
      <c r="Q27" s="19">
        <f t="shared" si="1"/>
        <v>24</v>
      </c>
      <c r="R27" s="19">
        <f t="shared" si="1"/>
        <v>12.5</v>
      </c>
      <c r="S27" s="19">
        <f t="shared" si="1"/>
        <v>8.1999999999999993</v>
      </c>
      <c r="T27" s="19">
        <f t="shared" si="1"/>
        <v>26.5</v>
      </c>
      <c r="U27" s="19">
        <f t="shared" si="1"/>
        <v>0</v>
      </c>
      <c r="V27" s="19">
        <f t="shared" si="1"/>
        <v>0</v>
      </c>
      <c r="W27" s="19">
        <f t="shared" si="1"/>
        <v>150</v>
      </c>
      <c r="X27" s="19">
        <f t="shared" si="1"/>
        <v>16</v>
      </c>
      <c r="Y27" s="19">
        <f t="shared" si="1"/>
        <v>0</v>
      </c>
      <c r="Z27" s="19">
        <f t="shared" si="1"/>
        <v>0</v>
      </c>
      <c r="AA27" s="19">
        <f t="shared" si="1"/>
        <v>0</v>
      </c>
      <c r="AB27" s="19">
        <f t="shared" si="1"/>
        <v>33.9</v>
      </c>
      <c r="AC27" s="19">
        <f t="shared" si="1"/>
        <v>6.7</v>
      </c>
      <c r="AD27" s="19">
        <f t="shared" si="1"/>
        <v>0</v>
      </c>
      <c r="AE27" s="19">
        <f t="shared" si="1"/>
        <v>50</v>
      </c>
      <c r="AF27" s="19">
        <f t="shared" si="1"/>
        <v>0</v>
      </c>
      <c r="AG27" s="19">
        <f t="shared" si="1"/>
        <v>0</v>
      </c>
      <c r="AH27" s="19">
        <f t="shared" si="1"/>
        <v>0</v>
      </c>
      <c r="AI27" s="19">
        <f t="shared" si="1"/>
        <v>1.1000000000000001</v>
      </c>
      <c r="AJ27" s="19">
        <f t="shared" si="1"/>
        <v>0</v>
      </c>
      <c r="AK27" s="19">
        <f t="shared" si="1"/>
        <v>0</v>
      </c>
      <c r="AL27" s="19">
        <f t="shared" si="1"/>
        <v>11</v>
      </c>
      <c r="AM27" s="19">
        <f t="shared" si="1"/>
        <v>0</v>
      </c>
      <c r="AN27" s="19">
        <f t="shared" si="1"/>
        <v>0</v>
      </c>
      <c r="AO27" s="19">
        <f t="shared" si="1"/>
        <v>0</v>
      </c>
      <c r="AP27" s="19">
        <f t="shared" si="1"/>
        <v>0</v>
      </c>
      <c r="AQ27" s="19">
        <f t="shared" si="1"/>
        <v>3.8</v>
      </c>
      <c r="AR27" s="19">
        <f t="shared" si="1"/>
        <v>0</v>
      </c>
      <c r="AS27" s="19">
        <f t="shared" si="1"/>
        <v>1</v>
      </c>
      <c r="AT27" s="19">
        <f t="shared" si="1"/>
        <v>0</v>
      </c>
      <c r="AU27" s="19">
        <f t="shared" si="1"/>
        <v>0</v>
      </c>
      <c r="AV27" s="19">
        <f t="shared" si="1"/>
        <v>47.5</v>
      </c>
      <c r="AW27" s="19">
        <f t="shared" si="1"/>
        <v>18</v>
      </c>
      <c r="AX27" s="19">
        <f t="shared" si="1"/>
        <v>0</v>
      </c>
      <c r="AY27" s="19">
        <f t="shared" si="1"/>
        <v>0</v>
      </c>
      <c r="AZ27" s="19">
        <f t="shared" si="1"/>
        <v>46</v>
      </c>
      <c r="BA27" s="19">
        <f t="shared" si="1"/>
        <v>2.2000000000000002</v>
      </c>
      <c r="BB27" s="19">
        <f t="shared" si="1"/>
        <v>0</v>
      </c>
      <c r="BC27" s="19">
        <f t="shared" si="1"/>
        <v>0</v>
      </c>
      <c r="BD27" s="19">
        <f t="shared" si="1"/>
        <v>0</v>
      </c>
      <c r="BE27" s="19">
        <f t="shared" si="1"/>
        <v>0</v>
      </c>
      <c r="BF27" s="19">
        <f t="shared" si="1"/>
        <v>0</v>
      </c>
      <c r="BG27" s="19">
        <f t="shared" si="1"/>
        <v>0</v>
      </c>
      <c r="BH27" s="19">
        <f t="shared" si="1"/>
        <v>0</v>
      </c>
      <c r="BI27" s="19">
        <f t="shared" si="1"/>
        <v>0</v>
      </c>
      <c r="BJ27" s="19">
        <f t="shared" si="1"/>
        <v>0</v>
      </c>
      <c r="BK27" s="19">
        <f t="shared" si="1"/>
        <v>0</v>
      </c>
      <c r="BL27" s="19">
        <f t="shared" si="1"/>
        <v>0</v>
      </c>
      <c r="BM27" s="19">
        <f t="shared" si="1"/>
        <v>0</v>
      </c>
      <c r="BN27" s="19">
        <f t="shared" si="1"/>
        <v>0</v>
      </c>
      <c r="BO27" s="19">
        <f t="shared" si="1"/>
        <v>0</v>
      </c>
      <c r="BP27" s="19">
        <f t="shared" si="1"/>
        <v>0</v>
      </c>
      <c r="BQ27" s="19">
        <f t="shared" si="1"/>
        <v>0</v>
      </c>
      <c r="BR27" s="19">
        <f t="shared" ref="BR27:CK27" si="2">SUM(BR6:BR22)</f>
        <v>0</v>
      </c>
      <c r="BS27" s="19">
        <f t="shared" si="2"/>
        <v>0</v>
      </c>
      <c r="BT27" s="19">
        <f t="shared" si="2"/>
        <v>3.8</v>
      </c>
      <c r="BU27" s="19">
        <f t="shared" si="2"/>
        <v>0</v>
      </c>
      <c r="BV27" s="19">
        <f t="shared" si="2"/>
        <v>3.8</v>
      </c>
      <c r="BW27" s="19">
        <f t="shared" si="2"/>
        <v>0</v>
      </c>
      <c r="BX27" s="19">
        <f t="shared" si="2"/>
        <v>0</v>
      </c>
      <c r="BY27" s="19">
        <f t="shared" si="2"/>
        <v>0</v>
      </c>
      <c r="BZ27" s="19">
        <f t="shared" si="2"/>
        <v>0</v>
      </c>
      <c r="CA27" s="19">
        <f t="shared" si="2"/>
        <v>0</v>
      </c>
      <c r="CB27" s="19">
        <f t="shared" si="2"/>
        <v>0</v>
      </c>
      <c r="CC27" s="19">
        <f t="shared" si="2"/>
        <v>3.8</v>
      </c>
      <c r="CD27" s="19">
        <f t="shared" si="2"/>
        <v>0</v>
      </c>
      <c r="CE27" s="19">
        <f t="shared" si="2"/>
        <v>0</v>
      </c>
      <c r="CF27" s="19">
        <f t="shared" si="2"/>
        <v>0</v>
      </c>
      <c r="CG27" s="19">
        <f t="shared" si="2"/>
        <v>20</v>
      </c>
      <c r="CH27" s="19">
        <f t="shared" si="2"/>
        <v>0</v>
      </c>
      <c r="CI27" s="19">
        <f t="shared" si="2"/>
        <v>0</v>
      </c>
      <c r="CJ27" s="19">
        <f t="shared" si="2"/>
        <v>0</v>
      </c>
      <c r="CK27" s="19">
        <f t="shared" si="2"/>
        <v>0</v>
      </c>
      <c r="CL27" s="13"/>
    </row>
    <row r="28" spans="1:94" ht="18.75" hidden="1" customHeight="1">
      <c r="A28" s="15"/>
      <c r="B28" s="16"/>
      <c r="C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3"/>
    </row>
    <row r="29" spans="1:94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3"/>
    </row>
    <row r="30" spans="1:94" ht="18.75" customHeight="1">
      <c r="A30" s="53" t="s">
        <v>101</v>
      </c>
      <c r="B30" s="54"/>
      <c r="C30" s="54"/>
      <c r="D30" s="55"/>
      <c r="E30" s="18"/>
      <c r="F30" s="20">
        <f>+F27*$A$4/1000</f>
        <v>0</v>
      </c>
      <c r="G30" s="20">
        <f t="shared" ref="G30:BR30" si="3">+G27*$A$4/1000</f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4">
        <f>+T27*$A$4/55</f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0</v>
      </c>
      <c r="AD30" s="20">
        <f t="shared" si="3"/>
        <v>0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20">
        <f t="shared" si="3"/>
        <v>0</v>
      </c>
      <c r="AO30" s="20">
        <f t="shared" si="3"/>
        <v>0</v>
      </c>
      <c r="AP30" s="20">
        <f t="shared" si="3"/>
        <v>0</v>
      </c>
      <c r="AQ30" s="20">
        <f t="shared" si="3"/>
        <v>0</v>
      </c>
      <c r="AR30" s="20">
        <f t="shared" si="3"/>
        <v>0</v>
      </c>
      <c r="AS30" s="20">
        <f t="shared" si="3"/>
        <v>0</v>
      </c>
      <c r="AT30" s="20">
        <f t="shared" si="3"/>
        <v>0</v>
      </c>
      <c r="AU30" s="20">
        <f t="shared" si="3"/>
        <v>0</v>
      </c>
      <c r="AV30" s="20">
        <f t="shared" si="3"/>
        <v>0</v>
      </c>
      <c r="AW30" s="20">
        <f t="shared" si="3"/>
        <v>0</v>
      </c>
      <c r="AX30" s="20">
        <f t="shared" si="3"/>
        <v>0</v>
      </c>
      <c r="AY30" s="20">
        <f t="shared" si="3"/>
        <v>0</v>
      </c>
      <c r="AZ30" s="20">
        <f t="shared" si="3"/>
        <v>0</v>
      </c>
      <c r="BA30" s="20">
        <f t="shared" si="3"/>
        <v>0</v>
      </c>
      <c r="BB30" s="20">
        <f t="shared" si="3"/>
        <v>0</v>
      </c>
      <c r="BC30" s="20">
        <f t="shared" si="3"/>
        <v>0</v>
      </c>
      <c r="BD30" s="20">
        <f t="shared" si="3"/>
        <v>0</v>
      </c>
      <c r="BE30" s="20">
        <f t="shared" si="3"/>
        <v>0</v>
      </c>
      <c r="BF30" s="20">
        <f t="shared" si="3"/>
        <v>0</v>
      </c>
      <c r="BG30" s="20">
        <f t="shared" si="3"/>
        <v>0</v>
      </c>
      <c r="BH30" s="20">
        <f t="shared" si="3"/>
        <v>0</v>
      </c>
      <c r="BI30" s="20">
        <f t="shared" si="3"/>
        <v>0</v>
      </c>
      <c r="BJ30" s="20">
        <f t="shared" si="3"/>
        <v>0</v>
      </c>
      <c r="BK30" s="20">
        <f t="shared" si="3"/>
        <v>0</v>
      </c>
      <c r="BL30" s="20">
        <f t="shared" si="3"/>
        <v>0</v>
      </c>
      <c r="BM30" s="20">
        <f t="shared" si="3"/>
        <v>0</v>
      </c>
      <c r="BN30" s="20">
        <f t="shared" si="3"/>
        <v>0</v>
      </c>
      <c r="BO30" s="20">
        <f t="shared" si="3"/>
        <v>0</v>
      </c>
      <c r="BP30" s="20">
        <f t="shared" si="3"/>
        <v>0</v>
      </c>
      <c r="BQ30" s="20">
        <f t="shared" si="3"/>
        <v>0</v>
      </c>
      <c r="BR30" s="20">
        <f t="shared" si="3"/>
        <v>0</v>
      </c>
      <c r="BS30" s="20">
        <f t="shared" ref="BS30:CK30" si="4">+BS27*$A$4/1000</f>
        <v>0</v>
      </c>
      <c r="BT30" s="20">
        <f t="shared" si="4"/>
        <v>0</v>
      </c>
      <c r="BU30" s="20">
        <f t="shared" si="4"/>
        <v>0</v>
      </c>
      <c r="BV30" s="20">
        <f t="shared" si="4"/>
        <v>0</v>
      </c>
      <c r="BW30" s="20">
        <f t="shared" si="4"/>
        <v>0</v>
      </c>
      <c r="BX30" s="20">
        <f t="shared" si="4"/>
        <v>0</v>
      </c>
      <c r="BY30" s="20">
        <f t="shared" si="4"/>
        <v>0</v>
      </c>
      <c r="BZ30" s="20">
        <f t="shared" si="4"/>
        <v>0</v>
      </c>
      <c r="CA30" s="20">
        <f t="shared" si="4"/>
        <v>0</v>
      </c>
      <c r="CB30" s="20">
        <f t="shared" si="4"/>
        <v>0</v>
      </c>
      <c r="CC30" s="20">
        <f t="shared" si="4"/>
        <v>0</v>
      </c>
      <c r="CD30" s="20">
        <f t="shared" si="4"/>
        <v>0</v>
      </c>
      <c r="CE30" s="20">
        <f t="shared" si="4"/>
        <v>0</v>
      </c>
      <c r="CF30" s="20">
        <f t="shared" si="4"/>
        <v>0</v>
      </c>
      <c r="CG30" s="20">
        <f t="shared" si="4"/>
        <v>0</v>
      </c>
      <c r="CH30" s="20">
        <f t="shared" si="4"/>
        <v>0</v>
      </c>
      <c r="CI30" s="20">
        <f t="shared" si="4"/>
        <v>0</v>
      </c>
      <c r="CJ30" s="20">
        <f t="shared" si="4"/>
        <v>0</v>
      </c>
      <c r="CK30" s="20">
        <f t="shared" si="4"/>
        <v>0</v>
      </c>
      <c r="CL30" s="20"/>
    </row>
    <row r="31" spans="1:9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21"/>
    </row>
    <row r="32" spans="1:94">
      <c r="A32" s="22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 t="s">
        <v>103</v>
      </c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</row>
  </sheetData>
  <mergeCells count="65">
    <mergeCell ref="A10:A17"/>
    <mergeCell ref="A18:A22"/>
    <mergeCell ref="A23:A26"/>
    <mergeCell ref="B26:C26"/>
    <mergeCell ref="B14:C14"/>
    <mergeCell ref="B17:C17"/>
    <mergeCell ref="B23:C23"/>
    <mergeCell ref="B11:C11"/>
    <mergeCell ref="B10:C10"/>
    <mergeCell ref="D26:E26"/>
    <mergeCell ref="A27:D27"/>
    <mergeCell ref="A30:D30"/>
    <mergeCell ref="F32:AE32"/>
    <mergeCell ref="AF32:CP32"/>
    <mergeCell ref="D14:E14"/>
    <mergeCell ref="B15:C15"/>
    <mergeCell ref="D15:E15"/>
    <mergeCell ref="B16:C16"/>
    <mergeCell ref="D16:E16"/>
    <mergeCell ref="D17:E17"/>
    <mergeCell ref="B21:C21"/>
    <mergeCell ref="D21:E21"/>
    <mergeCell ref="B22:C22"/>
    <mergeCell ref="D22:E22"/>
    <mergeCell ref="D18:E20"/>
    <mergeCell ref="B18:B20"/>
    <mergeCell ref="D23:E23"/>
    <mergeCell ref="B24:C24"/>
    <mergeCell ref="D24:E24"/>
    <mergeCell ref="B25:C25"/>
    <mergeCell ref="D25:E25"/>
    <mergeCell ref="A5:C5"/>
    <mergeCell ref="D5:E5"/>
    <mergeCell ref="B6:C6"/>
    <mergeCell ref="D6:E6"/>
    <mergeCell ref="B7:C7"/>
    <mergeCell ref="D7:E7"/>
    <mergeCell ref="A6:A9"/>
    <mergeCell ref="B8:C8"/>
    <mergeCell ref="D8:E8"/>
    <mergeCell ref="B9:C9"/>
    <mergeCell ref="D9:E9"/>
    <mergeCell ref="D10:E10"/>
    <mergeCell ref="D11:E11"/>
    <mergeCell ref="B12:C12"/>
    <mergeCell ref="D12:E12"/>
    <mergeCell ref="B13:C13"/>
    <mergeCell ref="D13:E13"/>
    <mergeCell ref="A1:B1"/>
    <mergeCell ref="F1:U1"/>
    <mergeCell ref="V1:CL1"/>
    <mergeCell ref="F2:U2"/>
    <mergeCell ref="V2:CL2"/>
    <mergeCell ref="V3:CL3"/>
    <mergeCell ref="A4:B4"/>
    <mergeCell ref="D4:E4"/>
    <mergeCell ref="F4:K4"/>
    <mergeCell ref="L4:P4"/>
    <mergeCell ref="Q4:U4"/>
    <mergeCell ref="V4:BK4"/>
    <mergeCell ref="A3:B3"/>
    <mergeCell ref="D3:E3"/>
    <mergeCell ref="F3:K3"/>
    <mergeCell ref="L3:P3"/>
    <mergeCell ref="Q3:U3"/>
  </mergeCells>
  <pageMargins left="0" right="0" top="1.1811023622047201" bottom="1.37795275590551" header="0.118110236220472" footer="0.118110236220472"/>
  <pageSetup paperSize="9" scale="69" fitToHeight="2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0">
    <pageSetUpPr fitToPage="1"/>
  </sheetPr>
  <dimension ref="A1:CP35"/>
  <sheetViews>
    <sheetView tabSelected="1" view="pageBreakPreview" zoomScale="85" zoomScaleNormal="84" zoomScaleSheetLayoutView="85" workbookViewId="0">
      <selection activeCell="V2" sqref="V2:CL2"/>
    </sheetView>
  </sheetViews>
  <sheetFormatPr defaultColWidth="9.140625" defaultRowHeight="11.25"/>
  <cols>
    <col min="1" max="1" width="10.140625" style="1" customWidth="1"/>
    <col min="2" max="2" width="11.7109375" style="1" customWidth="1"/>
    <col min="3" max="3" width="9.5703125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customWidth="1"/>
    <col min="8" max="8" width="6.85546875" style="1" customWidth="1"/>
    <col min="9" max="9" width="5.28515625" style="1" hidden="1" customWidth="1"/>
    <col min="10" max="10" width="5.28515625" style="1" customWidth="1"/>
    <col min="11" max="11" width="5.85546875" style="1" customWidth="1"/>
    <col min="12" max="12" width="5.7109375" style="1" hidden="1" customWidth="1"/>
    <col min="13" max="13" width="6" style="1" customWidth="1"/>
    <col min="14" max="14" width="5.140625" style="1" customWidth="1"/>
    <col min="15" max="15" width="5.7109375" style="1" customWidth="1"/>
    <col min="16" max="16" width="4.7109375" style="1" customWidth="1"/>
    <col min="17" max="17" width="6" style="1" customWidth="1"/>
    <col min="18" max="19" width="5.5703125" style="1" customWidth="1"/>
    <col min="20" max="20" width="5.140625" style="1" customWidth="1"/>
    <col min="21" max="21" width="5.7109375" style="1" hidden="1" customWidth="1"/>
    <col min="22" max="22" width="4.85546875" style="1" hidden="1" customWidth="1"/>
    <col min="23" max="23" width="6" style="1" customWidth="1"/>
    <col min="24" max="24" width="5.28515625" style="1" hidden="1" customWidth="1"/>
    <col min="25" max="25" width="5.85546875" style="1" hidden="1" customWidth="1"/>
    <col min="26" max="26" width="5.5703125" style="1" hidden="1" customWidth="1"/>
    <col min="27" max="27" width="6.42578125" style="1" hidden="1" customWidth="1"/>
    <col min="28" max="28" width="6.5703125" style="1" customWidth="1"/>
    <col min="29" max="31" width="4.85546875" style="1" hidden="1" customWidth="1"/>
    <col min="32" max="32" width="5.7109375" style="1" customWidth="1"/>
    <col min="33" max="33" width="5.28515625" style="1" hidden="1" customWidth="1"/>
    <col min="34" max="34" width="5.42578125" style="1" hidden="1" customWidth="1"/>
    <col min="35" max="36" width="5.28515625" style="1" hidden="1" customWidth="1"/>
    <col min="37" max="37" width="4.85546875" style="1" hidden="1" customWidth="1"/>
    <col min="38" max="38" width="5.85546875" style="1" hidden="1" customWidth="1"/>
    <col min="39" max="40" width="4.85546875" style="1" hidden="1" customWidth="1"/>
    <col min="41" max="41" width="4.7109375" style="1" hidden="1" customWidth="1"/>
    <col min="42" max="43" width="5.42578125" style="1" hidden="1" customWidth="1"/>
    <col min="44" max="44" width="6.140625" style="1" customWidth="1"/>
    <col min="45" max="46" width="4.85546875" style="1" hidden="1" customWidth="1"/>
    <col min="47" max="47" width="5.42578125" style="1" customWidth="1"/>
    <col min="48" max="48" width="5.140625" style="1" hidden="1" customWidth="1"/>
    <col min="49" max="49" width="5.28515625" style="1" hidden="1" customWidth="1"/>
    <col min="50" max="51" width="5.42578125" style="1" hidden="1" customWidth="1"/>
    <col min="52" max="53" width="5.7109375" style="1" customWidth="1"/>
    <col min="54" max="63" width="4.85546875" style="1" hidden="1" customWidth="1"/>
    <col min="64" max="64" width="5.85546875" style="1" hidden="1" customWidth="1"/>
    <col min="65" max="65" width="6" style="1" hidden="1" customWidth="1"/>
    <col min="66" max="66" width="4.85546875" style="1" hidden="1" customWidth="1"/>
    <col min="67" max="67" width="5.42578125" style="1" hidden="1" customWidth="1"/>
    <col min="68" max="68" width="4.85546875" style="1" hidden="1" customWidth="1"/>
    <col min="69" max="69" width="5.28515625" style="1" hidden="1" customWidth="1"/>
    <col min="70" max="70" width="6.140625" style="1" hidden="1" customWidth="1"/>
    <col min="71" max="71" width="4.85546875" style="1" hidden="1" customWidth="1"/>
    <col min="72" max="72" width="5.42578125" style="1" hidden="1" customWidth="1"/>
    <col min="73" max="73" width="4.85546875" style="1" hidden="1" customWidth="1"/>
    <col min="74" max="74" width="5" style="1" hidden="1" customWidth="1"/>
    <col min="75" max="77" width="4.85546875" style="1" hidden="1" customWidth="1"/>
    <col min="78" max="78" width="5.42578125" style="1" hidden="1" customWidth="1"/>
    <col min="79" max="79" width="5.85546875" style="1" hidden="1" customWidth="1"/>
    <col min="80" max="81" width="5" style="1" hidden="1" customWidth="1"/>
    <col min="82" max="89" width="4.85546875" style="1" hidden="1" customWidth="1"/>
    <col min="90" max="90" width="10.28515625" style="1" customWidth="1"/>
    <col min="91" max="94" width="9" style="1" hidden="1" customWidth="1"/>
    <col min="95" max="16384" width="9.140625" style="1"/>
  </cols>
  <sheetData>
    <row r="1" spans="1:90" ht="15.75">
      <c r="A1" s="34">
        <v>46308</v>
      </c>
      <c r="B1" s="34"/>
      <c r="C1" s="2"/>
      <c r="E1" s="3"/>
      <c r="F1" s="35" t="str">
        <f>'1'!F1:U1</f>
        <v xml:space="preserve"> -МТТ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</row>
    <row r="2" spans="1:90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</row>
    <row r="3" spans="1:90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0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</row>
    <row r="5" spans="1:90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71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/>
      <c r="CH5" s="7"/>
      <c r="CI5" s="7"/>
      <c r="CJ5" s="7"/>
      <c r="CK5" s="7"/>
      <c r="CL5" s="10" t="s">
        <v>87</v>
      </c>
    </row>
    <row r="6" spans="1:90" ht="24.75" customHeight="1">
      <c r="A6" s="47" t="s">
        <v>88</v>
      </c>
      <c r="B6" s="45" t="s">
        <v>138</v>
      </c>
      <c r="C6" s="46"/>
      <c r="D6" s="37">
        <v>150</v>
      </c>
      <c r="E6" s="38"/>
      <c r="F6" s="12"/>
      <c r="G6" s="12"/>
      <c r="H6" s="12"/>
      <c r="I6" s="12"/>
      <c r="J6" s="12"/>
      <c r="K6" s="12">
        <v>3.3</v>
      </c>
      <c r="L6" s="12"/>
      <c r="M6" s="12"/>
      <c r="N6" s="12"/>
      <c r="O6" s="12"/>
      <c r="P6" s="12">
        <v>0.75</v>
      </c>
      <c r="Q6" s="12">
        <v>1.8</v>
      </c>
      <c r="R6" s="12"/>
      <c r="S6" s="12"/>
      <c r="T6" s="12"/>
      <c r="U6" s="12"/>
      <c r="V6" s="12"/>
      <c r="W6" s="12">
        <v>83</v>
      </c>
      <c r="X6" s="12"/>
      <c r="Y6" s="12"/>
      <c r="Z6" s="12"/>
      <c r="AA6" s="12"/>
      <c r="AB6" s="12"/>
      <c r="AC6" s="12"/>
      <c r="AD6" s="12"/>
      <c r="AE6" s="12"/>
      <c r="AF6" s="12">
        <v>16.600000000000001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3">
        <f t="shared" ref="CL6:CL27" si="0">SUM(F6:CK6)</f>
        <v>105.44999999999999</v>
      </c>
    </row>
    <row r="7" spans="1:90" ht="24.75" customHeight="1">
      <c r="A7" s="48"/>
      <c r="B7" s="28" t="s">
        <v>173</v>
      </c>
      <c r="C7" s="29"/>
      <c r="D7" s="37">
        <v>150</v>
      </c>
      <c r="E7" s="38"/>
      <c r="F7" s="12"/>
      <c r="G7" s="12"/>
      <c r="H7" s="12"/>
      <c r="I7" s="12"/>
      <c r="J7" s="12"/>
      <c r="K7" s="12">
        <v>7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>
        <v>75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>
        <v>2</v>
      </c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3">
        <f t="shared" si="0"/>
        <v>84</v>
      </c>
    </row>
    <row r="8" spans="1:90" ht="24.75" customHeight="1">
      <c r="A8" s="48"/>
      <c r="B8" s="28" t="s">
        <v>127</v>
      </c>
      <c r="C8" s="29"/>
      <c r="D8" s="37">
        <v>50</v>
      </c>
      <c r="E8" s="38"/>
      <c r="F8" s="12">
        <v>40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10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3">
        <f t="shared" si="0"/>
        <v>50</v>
      </c>
    </row>
    <row r="9" spans="1:90" ht="24.75" hidden="1" customHeight="1">
      <c r="A9" s="49"/>
      <c r="B9" s="28"/>
      <c r="C9" s="29"/>
      <c r="D9" s="37"/>
      <c r="E9" s="3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3">
        <f t="shared" si="0"/>
        <v>0</v>
      </c>
    </row>
    <row r="10" spans="1:90" ht="32.25" customHeight="1">
      <c r="A10" s="47" t="s">
        <v>90</v>
      </c>
      <c r="B10" s="41" t="s">
        <v>174</v>
      </c>
      <c r="C10" s="41"/>
      <c r="D10" s="52" t="s">
        <v>110</v>
      </c>
      <c r="E10" s="52"/>
      <c r="F10" s="12"/>
      <c r="G10" s="12"/>
      <c r="H10" s="12">
        <v>23.1</v>
      </c>
      <c r="I10" s="12"/>
      <c r="J10" s="12"/>
      <c r="K10" s="12"/>
      <c r="L10" s="12"/>
      <c r="M10" s="12">
        <v>18.8</v>
      </c>
      <c r="N10" s="12">
        <v>10</v>
      </c>
      <c r="O10" s="12">
        <v>9.5</v>
      </c>
      <c r="P10" s="12">
        <v>0.9</v>
      </c>
      <c r="Q10" s="12"/>
      <c r="R10" s="12"/>
      <c r="S10" s="12"/>
      <c r="T10" s="12">
        <v>10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>
        <v>13.5</v>
      </c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3">
        <f t="shared" si="0"/>
        <v>85.800000000000011</v>
      </c>
    </row>
    <row r="11" spans="1:90" ht="32.25" customHeight="1">
      <c r="A11" s="48"/>
      <c r="B11" s="41" t="s">
        <v>175</v>
      </c>
      <c r="C11" s="41"/>
      <c r="D11" s="52">
        <v>50</v>
      </c>
      <c r="E11" s="52"/>
      <c r="F11" s="12">
        <v>9</v>
      </c>
      <c r="G11" s="12"/>
      <c r="H11" s="12"/>
      <c r="I11" s="12"/>
      <c r="J11" s="12">
        <v>3</v>
      </c>
      <c r="K11" s="12"/>
      <c r="L11" s="12"/>
      <c r="M11" s="12"/>
      <c r="N11" s="12"/>
      <c r="O11" s="12"/>
      <c r="P11" s="12">
        <v>1</v>
      </c>
      <c r="Q11" s="12"/>
      <c r="R11" s="12"/>
      <c r="S11" s="12"/>
      <c r="T11" s="12"/>
      <c r="U11" s="12"/>
      <c r="V11" s="12"/>
      <c r="W11" s="12">
        <v>13</v>
      </c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>
        <v>42</v>
      </c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3">
        <f t="shared" si="0"/>
        <v>68</v>
      </c>
    </row>
    <row r="12" spans="1:90" ht="32.25" customHeight="1">
      <c r="A12" s="48"/>
      <c r="B12" s="61" t="s">
        <v>176</v>
      </c>
      <c r="C12" s="62"/>
      <c r="D12" s="39">
        <v>130</v>
      </c>
      <c r="E12" s="40"/>
      <c r="F12" s="12"/>
      <c r="G12" s="12"/>
      <c r="H12" s="12"/>
      <c r="I12" s="12"/>
      <c r="J12" s="12"/>
      <c r="K12" s="12"/>
      <c r="L12" s="12"/>
      <c r="M12" s="12">
        <v>185</v>
      </c>
      <c r="N12" s="12"/>
      <c r="O12" s="12"/>
      <c r="P12" s="12">
        <v>1</v>
      </c>
      <c r="Q12" s="12">
        <v>4.3</v>
      </c>
      <c r="R12" s="12"/>
      <c r="S12" s="12"/>
      <c r="T12" s="12"/>
      <c r="U12" s="12"/>
      <c r="V12" s="12"/>
      <c r="W12" s="12">
        <v>19.899999999999999</v>
      </c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3">
        <f t="shared" si="0"/>
        <v>210.20000000000002</v>
      </c>
    </row>
    <row r="13" spans="1:90" ht="34.5" customHeight="1">
      <c r="A13" s="48"/>
      <c r="B13" s="45" t="s">
        <v>147</v>
      </c>
      <c r="C13" s="46"/>
      <c r="D13" s="37">
        <v>45</v>
      </c>
      <c r="E13" s="38"/>
      <c r="F13" s="12"/>
      <c r="G13" s="12"/>
      <c r="H13" s="12"/>
      <c r="I13" s="12"/>
      <c r="J13" s="12">
        <v>1</v>
      </c>
      <c r="K13" s="12">
        <v>0.5</v>
      </c>
      <c r="L13" s="12"/>
      <c r="M13" s="12"/>
      <c r="N13" s="12">
        <v>8.8000000000000007</v>
      </c>
      <c r="O13" s="12"/>
      <c r="P13" s="12"/>
      <c r="Q13" s="12"/>
      <c r="R13" s="12">
        <v>15.3</v>
      </c>
      <c r="S13" s="12">
        <v>14.1</v>
      </c>
      <c r="T13" s="12"/>
      <c r="U13" s="12"/>
      <c r="V13" s="12"/>
      <c r="W13" s="12"/>
      <c r="X13" s="12"/>
      <c r="Y13" s="12"/>
      <c r="Z13" s="12"/>
      <c r="AA13" s="12"/>
      <c r="AB13" s="12">
        <v>17</v>
      </c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>
        <v>1.7</v>
      </c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3">
        <f t="shared" si="0"/>
        <v>58.400000000000006</v>
      </c>
    </row>
    <row r="14" spans="1:90" ht="34.5" customHeight="1">
      <c r="A14" s="48"/>
      <c r="B14" s="45" t="s">
        <v>113</v>
      </c>
      <c r="C14" s="46"/>
      <c r="D14" s="37">
        <v>150</v>
      </c>
      <c r="E14" s="38"/>
      <c r="F14" s="12"/>
      <c r="G14" s="12"/>
      <c r="H14" s="12"/>
      <c r="I14" s="12"/>
      <c r="J14" s="12"/>
      <c r="K14" s="12">
        <v>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>
        <v>42.9</v>
      </c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3">
        <f t="shared" si="0"/>
        <v>50.9</v>
      </c>
    </row>
    <row r="15" spans="1:90" ht="27.75" customHeight="1">
      <c r="A15" s="48"/>
      <c r="B15" s="28" t="s">
        <v>94</v>
      </c>
      <c r="C15" s="29"/>
      <c r="D15" s="37">
        <v>60</v>
      </c>
      <c r="E15" s="38"/>
      <c r="F15" s="12">
        <v>60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3">
        <f t="shared" si="0"/>
        <v>60</v>
      </c>
    </row>
    <row r="16" spans="1:90" ht="24.75" hidden="1" customHeight="1">
      <c r="A16" s="48"/>
      <c r="B16" s="28"/>
      <c r="C16" s="29"/>
      <c r="D16" s="37"/>
      <c r="E16" s="3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3">
        <f t="shared" si="0"/>
        <v>0</v>
      </c>
    </row>
    <row r="17" spans="1:94" ht="24.75" hidden="1" customHeight="1">
      <c r="A17" s="48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3">
        <f t="shared" si="0"/>
        <v>0</v>
      </c>
    </row>
    <row r="18" spans="1:94" ht="24.75" hidden="1" customHeight="1">
      <c r="A18" s="49"/>
      <c r="B18" s="28"/>
      <c r="C18" s="29"/>
      <c r="D18" s="37"/>
      <c r="E18" s="38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3">
        <f t="shared" si="0"/>
        <v>0</v>
      </c>
    </row>
    <row r="19" spans="1:94" ht="24.75" customHeight="1">
      <c r="A19" s="57" t="s">
        <v>95</v>
      </c>
      <c r="B19" s="41" t="s">
        <v>177</v>
      </c>
      <c r="C19" s="14" t="s">
        <v>96</v>
      </c>
      <c r="D19" s="63">
        <v>65</v>
      </c>
      <c r="E19" s="64"/>
      <c r="F19" s="12"/>
      <c r="G19" s="12"/>
      <c r="H19" s="12"/>
      <c r="I19" s="12"/>
      <c r="J19" s="12"/>
      <c r="K19" s="12"/>
      <c r="L19" s="12"/>
      <c r="M19" s="18"/>
      <c r="N19" s="12"/>
      <c r="O19" s="12"/>
      <c r="P19" s="12">
        <v>0.4</v>
      </c>
      <c r="Q19" s="12"/>
      <c r="R19" s="12"/>
      <c r="S19" s="12"/>
      <c r="T19" s="12">
        <v>2.4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>
        <v>22.4</v>
      </c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3">
        <f t="shared" si="0"/>
        <v>25.2</v>
      </c>
    </row>
    <row r="20" spans="1:94" ht="24.75" customHeight="1">
      <c r="A20" s="58"/>
      <c r="B20" s="41"/>
      <c r="C20" s="14" t="s">
        <v>153</v>
      </c>
      <c r="D20" s="65"/>
      <c r="E20" s="66"/>
      <c r="F20" s="12"/>
      <c r="G20" s="12"/>
      <c r="H20" s="12">
        <v>16.3</v>
      </c>
      <c r="I20" s="12"/>
      <c r="J20" s="12">
        <v>1</v>
      </c>
      <c r="K20" s="12"/>
      <c r="L20" s="12"/>
      <c r="M20" s="12">
        <v>16.3</v>
      </c>
      <c r="N20" s="12"/>
      <c r="O20" s="12">
        <v>16.7</v>
      </c>
      <c r="P20" s="12">
        <v>0.4</v>
      </c>
      <c r="Q20" s="12">
        <v>1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3">
        <f t="shared" si="0"/>
        <v>51.699999999999996</v>
      </c>
    </row>
    <row r="21" spans="1:94" ht="24.75" customHeight="1">
      <c r="A21" s="58"/>
      <c r="B21" s="41"/>
      <c r="C21" s="14" t="s">
        <v>97</v>
      </c>
      <c r="D21" s="39"/>
      <c r="E21" s="40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>
        <v>1.2</v>
      </c>
      <c r="U21" s="12"/>
      <c r="V21" s="12"/>
      <c r="W21" s="12">
        <v>1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3">
        <f t="shared" si="0"/>
        <v>2.2000000000000002</v>
      </c>
    </row>
    <row r="22" spans="1:94" ht="24.75" customHeight="1">
      <c r="A22" s="58"/>
      <c r="B22" s="41" t="s">
        <v>124</v>
      </c>
      <c r="C22" s="41"/>
      <c r="D22" s="52">
        <v>150</v>
      </c>
      <c r="E22" s="5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>
        <v>185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3">
        <f t="shared" si="0"/>
        <v>185</v>
      </c>
    </row>
    <row r="23" spans="1:94" ht="24" customHeight="1">
      <c r="A23" s="59"/>
      <c r="B23" s="50" t="s">
        <v>178</v>
      </c>
      <c r="C23" s="51"/>
      <c r="D23" s="37">
        <v>150</v>
      </c>
      <c r="E23" s="38"/>
      <c r="F23" s="12"/>
      <c r="G23" s="12">
        <v>0.2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3">
        <f t="shared" si="0"/>
        <v>0.2</v>
      </c>
    </row>
    <row r="24" spans="1:94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3">
        <f t="shared" si="0"/>
        <v>0</v>
      </c>
    </row>
    <row r="25" spans="1:94" ht="24.75" hidden="1" customHeight="1">
      <c r="A25" s="60"/>
      <c r="B25" s="28"/>
      <c r="C25" s="29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3">
        <f t="shared" si="0"/>
        <v>0</v>
      </c>
    </row>
    <row r="26" spans="1:94" ht="24.75" hidden="1" customHeight="1">
      <c r="A26" s="60"/>
      <c r="B26" s="28"/>
      <c r="C26" s="29"/>
      <c r="D26" s="52"/>
      <c r="E26" s="5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3">
        <f t="shared" si="0"/>
        <v>0</v>
      </c>
    </row>
    <row r="27" spans="1:94" ht="0.75" customHeight="1">
      <c r="A27" s="60"/>
      <c r="B27" s="33"/>
      <c r="C27" s="33"/>
      <c r="D27" s="52"/>
      <c r="E27" s="5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3">
        <f t="shared" si="0"/>
        <v>0</v>
      </c>
    </row>
    <row r="28" spans="1:94" ht="18.75" customHeight="1">
      <c r="A28" s="53" t="s">
        <v>100</v>
      </c>
      <c r="B28" s="54"/>
      <c r="C28" s="54"/>
      <c r="D28" s="55"/>
      <c r="E28" s="18"/>
      <c r="F28" s="19">
        <f t="shared" ref="F28:BQ28" si="1">SUM(F6:F23)</f>
        <v>109</v>
      </c>
      <c r="G28" s="19">
        <f t="shared" si="1"/>
        <v>0.2</v>
      </c>
      <c r="H28" s="19">
        <f t="shared" si="1"/>
        <v>39.400000000000006</v>
      </c>
      <c r="I28" s="19">
        <f t="shared" si="1"/>
        <v>0</v>
      </c>
      <c r="J28" s="19">
        <f t="shared" si="1"/>
        <v>5</v>
      </c>
      <c r="K28" s="19">
        <f t="shared" si="1"/>
        <v>18.8</v>
      </c>
      <c r="L28" s="19">
        <f t="shared" si="1"/>
        <v>0</v>
      </c>
      <c r="M28" s="19">
        <f t="shared" si="1"/>
        <v>220.10000000000002</v>
      </c>
      <c r="N28" s="19">
        <f t="shared" si="1"/>
        <v>18.8</v>
      </c>
      <c r="O28" s="19">
        <f t="shared" si="1"/>
        <v>26.2</v>
      </c>
      <c r="P28" s="19">
        <f t="shared" si="1"/>
        <v>4.45</v>
      </c>
      <c r="Q28" s="19">
        <f t="shared" si="1"/>
        <v>17.100000000000001</v>
      </c>
      <c r="R28" s="19">
        <f t="shared" si="1"/>
        <v>15.3</v>
      </c>
      <c r="S28" s="19">
        <f t="shared" si="1"/>
        <v>14.1</v>
      </c>
      <c r="T28" s="19">
        <f t="shared" si="1"/>
        <v>13.6</v>
      </c>
      <c r="U28" s="19">
        <f t="shared" si="1"/>
        <v>0</v>
      </c>
      <c r="V28" s="19">
        <f t="shared" si="1"/>
        <v>0</v>
      </c>
      <c r="W28" s="19">
        <f t="shared" si="1"/>
        <v>191.9</v>
      </c>
      <c r="X28" s="19">
        <f t="shared" si="1"/>
        <v>0</v>
      </c>
      <c r="Y28" s="19">
        <f t="shared" si="1"/>
        <v>0</v>
      </c>
      <c r="Z28" s="19">
        <f t="shared" si="1"/>
        <v>0</v>
      </c>
      <c r="AA28" s="19">
        <f t="shared" si="1"/>
        <v>0</v>
      </c>
      <c r="AB28" s="19">
        <f t="shared" si="1"/>
        <v>244.9</v>
      </c>
      <c r="AC28" s="19">
        <f t="shared" si="1"/>
        <v>0</v>
      </c>
      <c r="AD28" s="19">
        <f t="shared" si="1"/>
        <v>0</v>
      </c>
      <c r="AE28" s="19">
        <f t="shared" si="1"/>
        <v>0</v>
      </c>
      <c r="AF28" s="19">
        <f t="shared" si="1"/>
        <v>16.600000000000001</v>
      </c>
      <c r="AG28" s="19">
        <f t="shared" si="1"/>
        <v>0</v>
      </c>
      <c r="AH28" s="19">
        <f t="shared" si="1"/>
        <v>0</v>
      </c>
      <c r="AI28" s="19">
        <f t="shared" si="1"/>
        <v>0</v>
      </c>
      <c r="AJ28" s="19">
        <f t="shared" si="1"/>
        <v>0</v>
      </c>
      <c r="AK28" s="19">
        <f t="shared" si="1"/>
        <v>0</v>
      </c>
      <c r="AL28" s="19">
        <f t="shared" si="1"/>
        <v>0</v>
      </c>
      <c r="AM28" s="19">
        <f t="shared" si="1"/>
        <v>0</v>
      </c>
      <c r="AN28" s="19">
        <f t="shared" si="1"/>
        <v>0</v>
      </c>
      <c r="AO28" s="19">
        <f t="shared" si="1"/>
        <v>0</v>
      </c>
      <c r="AP28" s="19">
        <f t="shared" si="1"/>
        <v>0</v>
      </c>
      <c r="AQ28" s="19">
        <f t="shared" si="1"/>
        <v>0</v>
      </c>
      <c r="AR28" s="19">
        <f t="shared" si="1"/>
        <v>42</v>
      </c>
      <c r="AS28" s="19">
        <f t="shared" si="1"/>
        <v>0</v>
      </c>
      <c r="AT28" s="19">
        <f t="shared" si="1"/>
        <v>0</v>
      </c>
      <c r="AU28" s="19">
        <f t="shared" si="1"/>
        <v>2</v>
      </c>
      <c r="AV28" s="19">
        <f t="shared" si="1"/>
        <v>0</v>
      </c>
      <c r="AW28" s="19">
        <f t="shared" si="1"/>
        <v>0</v>
      </c>
      <c r="AX28" s="19">
        <f t="shared" si="1"/>
        <v>0</v>
      </c>
      <c r="AY28" s="19">
        <f t="shared" si="1"/>
        <v>0</v>
      </c>
      <c r="AZ28" s="19">
        <f t="shared" si="1"/>
        <v>35.9</v>
      </c>
      <c r="BA28" s="19">
        <f t="shared" si="1"/>
        <v>1.7</v>
      </c>
      <c r="BB28" s="19">
        <f t="shared" si="1"/>
        <v>0</v>
      </c>
      <c r="BC28" s="19">
        <f t="shared" si="1"/>
        <v>0</v>
      </c>
      <c r="BD28" s="19">
        <f t="shared" si="1"/>
        <v>0</v>
      </c>
      <c r="BE28" s="19">
        <f t="shared" si="1"/>
        <v>0</v>
      </c>
      <c r="BF28" s="19">
        <f t="shared" si="1"/>
        <v>0</v>
      </c>
      <c r="BG28" s="19">
        <f t="shared" si="1"/>
        <v>0</v>
      </c>
      <c r="BH28" s="19">
        <f t="shared" si="1"/>
        <v>0</v>
      </c>
      <c r="BI28" s="19">
        <f t="shared" si="1"/>
        <v>0</v>
      </c>
      <c r="BJ28" s="19">
        <f t="shared" si="1"/>
        <v>0</v>
      </c>
      <c r="BK28" s="19">
        <f t="shared" si="1"/>
        <v>0</v>
      </c>
      <c r="BL28" s="19">
        <f t="shared" si="1"/>
        <v>0</v>
      </c>
      <c r="BM28" s="19">
        <f t="shared" si="1"/>
        <v>0</v>
      </c>
      <c r="BN28" s="19">
        <f t="shared" si="1"/>
        <v>0</v>
      </c>
      <c r="BO28" s="19">
        <f t="shared" si="1"/>
        <v>0</v>
      </c>
      <c r="BP28" s="19">
        <f t="shared" si="1"/>
        <v>0</v>
      </c>
      <c r="BQ28" s="19">
        <f t="shared" si="1"/>
        <v>0</v>
      </c>
      <c r="BR28" s="19">
        <f t="shared" ref="BR28:CK28" si="2">SUM(BR6:BR23)</f>
        <v>0</v>
      </c>
      <c r="BS28" s="19">
        <f t="shared" si="2"/>
        <v>0</v>
      </c>
      <c r="BT28" s="19">
        <f t="shared" si="2"/>
        <v>0</v>
      </c>
      <c r="BU28" s="19">
        <f t="shared" si="2"/>
        <v>0</v>
      </c>
      <c r="BV28" s="19">
        <f t="shared" si="2"/>
        <v>0</v>
      </c>
      <c r="BW28" s="19">
        <f t="shared" si="2"/>
        <v>0</v>
      </c>
      <c r="BX28" s="19">
        <f t="shared" si="2"/>
        <v>0</v>
      </c>
      <c r="BY28" s="19">
        <f t="shared" si="2"/>
        <v>0</v>
      </c>
      <c r="BZ28" s="19">
        <f t="shared" si="2"/>
        <v>0</v>
      </c>
      <c r="CA28" s="19">
        <f t="shared" si="2"/>
        <v>0</v>
      </c>
      <c r="CB28" s="19">
        <f t="shared" si="2"/>
        <v>0</v>
      </c>
      <c r="CC28" s="19">
        <f t="shared" si="2"/>
        <v>0</v>
      </c>
      <c r="CD28" s="19">
        <f t="shared" si="2"/>
        <v>0</v>
      </c>
      <c r="CE28" s="19">
        <f t="shared" si="2"/>
        <v>0</v>
      </c>
      <c r="CF28" s="19">
        <f t="shared" si="2"/>
        <v>0</v>
      </c>
      <c r="CG28" s="19">
        <f t="shared" si="2"/>
        <v>0</v>
      </c>
      <c r="CH28" s="19">
        <f t="shared" si="2"/>
        <v>0</v>
      </c>
      <c r="CI28" s="19">
        <f t="shared" si="2"/>
        <v>0</v>
      </c>
      <c r="CJ28" s="19">
        <f t="shared" si="2"/>
        <v>0</v>
      </c>
      <c r="CK28" s="19">
        <f t="shared" si="2"/>
        <v>0</v>
      </c>
      <c r="CL28" s="13"/>
    </row>
    <row r="29" spans="1:94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3"/>
    </row>
    <row r="30" spans="1:94" ht="18.75" customHeight="1">
      <c r="A30" s="53" t="s">
        <v>101</v>
      </c>
      <c r="B30" s="54"/>
      <c r="C30" s="54"/>
      <c r="D30" s="55"/>
      <c r="E30" s="18"/>
      <c r="F30" s="20">
        <f>+F28*$A$4/1000</f>
        <v>0</v>
      </c>
      <c r="G30" s="20">
        <f t="shared" ref="G30:BR30" si="3">+G28*$A$4/1000</f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4">
        <f>+T28*$A$4/55</f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0</v>
      </c>
      <c r="AD30" s="20">
        <f t="shared" si="3"/>
        <v>0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20">
        <f t="shared" si="3"/>
        <v>0</v>
      </c>
      <c r="AO30" s="20">
        <f t="shared" si="3"/>
        <v>0</v>
      </c>
      <c r="AP30" s="20">
        <f t="shared" si="3"/>
        <v>0</v>
      </c>
      <c r="AQ30" s="20">
        <f t="shared" si="3"/>
        <v>0</v>
      </c>
      <c r="AR30" s="20">
        <f t="shared" si="3"/>
        <v>0</v>
      </c>
      <c r="AS30" s="20">
        <f t="shared" si="3"/>
        <v>0</v>
      </c>
      <c r="AT30" s="20">
        <f t="shared" si="3"/>
        <v>0</v>
      </c>
      <c r="AU30" s="20">
        <f t="shared" si="3"/>
        <v>0</v>
      </c>
      <c r="AV30" s="20">
        <f t="shared" si="3"/>
        <v>0</v>
      </c>
      <c r="AW30" s="20">
        <f t="shared" si="3"/>
        <v>0</v>
      </c>
      <c r="AX30" s="20">
        <f t="shared" si="3"/>
        <v>0</v>
      </c>
      <c r="AY30" s="20">
        <f t="shared" si="3"/>
        <v>0</v>
      </c>
      <c r="AZ30" s="20">
        <f t="shared" si="3"/>
        <v>0</v>
      </c>
      <c r="BA30" s="20">
        <f t="shared" si="3"/>
        <v>0</v>
      </c>
      <c r="BB30" s="20">
        <f t="shared" si="3"/>
        <v>0</v>
      </c>
      <c r="BC30" s="20">
        <f t="shared" si="3"/>
        <v>0</v>
      </c>
      <c r="BD30" s="20">
        <f t="shared" si="3"/>
        <v>0</v>
      </c>
      <c r="BE30" s="20">
        <f t="shared" si="3"/>
        <v>0</v>
      </c>
      <c r="BF30" s="20">
        <f t="shared" si="3"/>
        <v>0</v>
      </c>
      <c r="BG30" s="20">
        <f t="shared" si="3"/>
        <v>0</v>
      </c>
      <c r="BH30" s="20">
        <f t="shared" si="3"/>
        <v>0</v>
      </c>
      <c r="BI30" s="20">
        <f t="shared" si="3"/>
        <v>0</v>
      </c>
      <c r="BJ30" s="20">
        <f t="shared" si="3"/>
        <v>0</v>
      </c>
      <c r="BK30" s="20">
        <f t="shared" si="3"/>
        <v>0</v>
      </c>
      <c r="BL30" s="20">
        <f t="shared" si="3"/>
        <v>0</v>
      </c>
      <c r="BM30" s="20">
        <f t="shared" si="3"/>
        <v>0</v>
      </c>
      <c r="BN30" s="20">
        <f t="shared" si="3"/>
        <v>0</v>
      </c>
      <c r="BO30" s="20">
        <f t="shared" si="3"/>
        <v>0</v>
      </c>
      <c r="BP30" s="20">
        <f t="shared" si="3"/>
        <v>0</v>
      </c>
      <c r="BQ30" s="20">
        <f t="shared" si="3"/>
        <v>0</v>
      </c>
      <c r="BR30" s="20">
        <f t="shared" si="3"/>
        <v>0</v>
      </c>
      <c r="BS30" s="20">
        <f t="shared" ref="BS30:CK30" si="4">+BS28*$A$4/1000</f>
        <v>0</v>
      </c>
      <c r="BT30" s="20">
        <f t="shared" si="4"/>
        <v>0</v>
      </c>
      <c r="BU30" s="20">
        <f t="shared" si="4"/>
        <v>0</v>
      </c>
      <c r="BV30" s="20">
        <f t="shared" si="4"/>
        <v>0</v>
      </c>
      <c r="BW30" s="20">
        <f t="shared" si="4"/>
        <v>0</v>
      </c>
      <c r="BX30" s="20">
        <f t="shared" si="4"/>
        <v>0</v>
      </c>
      <c r="BY30" s="20">
        <f t="shared" si="4"/>
        <v>0</v>
      </c>
      <c r="BZ30" s="20">
        <f t="shared" si="4"/>
        <v>0</v>
      </c>
      <c r="CA30" s="20">
        <f t="shared" si="4"/>
        <v>0</v>
      </c>
      <c r="CB30" s="20">
        <f t="shared" si="4"/>
        <v>0</v>
      </c>
      <c r="CC30" s="19">
        <f t="shared" si="4"/>
        <v>0</v>
      </c>
      <c r="CD30" s="19">
        <f t="shared" si="4"/>
        <v>0</v>
      </c>
      <c r="CE30" s="19">
        <f t="shared" si="4"/>
        <v>0</v>
      </c>
      <c r="CF30" s="19">
        <f t="shared" si="4"/>
        <v>0</v>
      </c>
      <c r="CG30" s="19">
        <f t="shared" si="4"/>
        <v>0</v>
      </c>
      <c r="CH30" s="19">
        <f t="shared" si="4"/>
        <v>0</v>
      </c>
      <c r="CI30" s="19">
        <f t="shared" si="4"/>
        <v>0</v>
      </c>
      <c r="CJ30" s="19">
        <f t="shared" si="4"/>
        <v>0</v>
      </c>
      <c r="CK30" s="19">
        <f t="shared" si="4"/>
        <v>0</v>
      </c>
      <c r="CL30" s="13"/>
    </row>
    <row r="31" spans="1:9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21"/>
    </row>
    <row r="32" spans="1:94">
      <c r="A32" s="22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 t="s">
        <v>103</v>
      </c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</row>
    <row r="33" spans="1:90">
      <c r="A33" s="22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</row>
    <row r="34" spans="1:90">
      <c r="A34" s="2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</row>
    <row r="35" spans="1:90">
      <c r="A35" s="2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</row>
  </sheetData>
  <autoFilter ref="A5:CL30" xr:uid="{00000000-0009-0000-0000-00000C000000}"/>
  <mergeCells count="67">
    <mergeCell ref="B19:B21"/>
    <mergeCell ref="A6:A9"/>
    <mergeCell ref="A10:A18"/>
    <mergeCell ref="A19:A23"/>
    <mergeCell ref="A24:A27"/>
    <mergeCell ref="B26:C26"/>
    <mergeCell ref="B24:C24"/>
    <mergeCell ref="B11:C11"/>
    <mergeCell ref="D26:E26"/>
    <mergeCell ref="B27:C27"/>
    <mergeCell ref="D27:E27"/>
    <mergeCell ref="A28:D28"/>
    <mergeCell ref="A30:D30"/>
    <mergeCell ref="F32:AE32"/>
    <mergeCell ref="AF32:CP32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22:C22"/>
    <mergeCell ref="D22:E22"/>
    <mergeCell ref="B23:C23"/>
    <mergeCell ref="D23:E23"/>
    <mergeCell ref="D24:E24"/>
    <mergeCell ref="B25:C25"/>
    <mergeCell ref="D25:E25"/>
    <mergeCell ref="D19:E21"/>
    <mergeCell ref="A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D11:E11"/>
    <mergeCell ref="B12:C12"/>
    <mergeCell ref="D12:E12"/>
    <mergeCell ref="B13:C13"/>
    <mergeCell ref="D13:E13"/>
    <mergeCell ref="A1:B1"/>
    <mergeCell ref="F1:U1"/>
    <mergeCell ref="V1:CL1"/>
    <mergeCell ref="F2:U2"/>
    <mergeCell ref="V2:CL2"/>
    <mergeCell ref="V3:CL3"/>
    <mergeCell ref="A4:B4"/>
    <mergeCell ref="D4:E4"/>
    <mergeCell ref="F4:K4"/>
    <mergeCell ref="L4:P4"/>
    <mergeCell ref="Q4:U4"/>
    <mergeCell ref="V4:BK4"/>
    <mergeCell ref="A3:B3"/>
    <mergeCell ref="D3:E3"/>
    <mergeCell ref="F3:K3"/>
    <mergeCell ref="L3:P3"/>
    <mergeCell ref="Q3:U3"/>
  </mergeCells>
  <pageMargins left="0" right="0" top="0.196850393700787" bottom="0.59055118110236204" header="0.31496062992126" footer="0.31496062992126"/>
  <pageSetup paperSize="9" scale="87" fitToHeight="2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1">
    <pageSetUpPr fitToPage="1"/>
  </sheetPr>
  <dimension ref="A1:CP33"/>
  <sheetViews>
    <sheetView view="pageBreakPreview" zoomScaleNormal="85" workbookViewId="0">
      <pane xSplit="5" ySplit="5" topLeftCell="F6" activePane="bottomRight" state="frozen"/>
      <selection pane="topRight"/>
      <selection pane="bottomLeft"/>
      <selection pane="bottomRight" sqref="A1:B1"/>
    </sheetView>
  </sheetViews>
  <sheetFormatPr defaultColWidth="9.140625" defaultRowHeight="11.25"/>
  <cols>
    <col min="1" max="1" width="10.140625" style="1" customWidth="1"/>
    <col min="2" max="2" width="11.7109375" style="1" customWidth="1"/>
    <col min="3" max="3" width="9.5703125" style="1" customWidth="1"/>
    <col min="4" max="4" width="4.5703125" style="1" customWidth="1"/>
    <col min="5" max="5" width="5.140625" style="1" customWidth="1"/>
    <col min="6" max="6" width="5.85546875" style="1" customWidth="1"/>
    <col min="7" max="7" width="5.28515625" style="1" customWidth="1"/>
    <col min="8" max="8" width="6.85546875" style="1" customWidth="1"/>
    <col min="9" max="9" width="5.28515625" style="1" hidden="1" customWidth="1"/>
    <col min="10" max="10" width="5.28515625" style="1" customWidth="1"/>
    <col min="11" max="11" width="5.85546875" style="1" customWidth="1"/>
    <col min="12" max="12" width="5.7109375" style="1" hidden="1" customWidth="1"/>
    <col min="13" max="13" width="6" style="1" customWidth="1"/>
    <col min="14" max="14" width="5.140625" style="1" customWidth="1"/>
    <col min="15" max="15" width="5.7109375" style="1" customWidth="1"/>
    <col min="16" max="16" width="4.7109375" style="1" customWidth="1"/>
    <col min="17" max="17" width="6" style="1" customWidth="1"/>
    <col min="18" max="19" width="5.5703125" style="1" customWidth="1"/>
    <col min="20" max="20" width="5.140625" style="1" customWidth="1"/>
    <col min="21" max="21" width="5.7109375" style="1" customWidth="1"/>
    <col min="22" max="22" width="4.85546875" style="1" hidden="1" customWidth="1"/>
    <col min="23" max="23" width="6" style="1" customWidth="1"/>
    <col min="24" max="24" width="5.28515625" style="1" customWidth="1"/>
    <col min="25" max="25" width="5.85546875" style="1" hidden="1" customWidth="1"/>
    <col min="26" max="26" width="5.5703125" style="1" customWidth="1"/>
    <col min="27" max="27" width="6.42578125" style="1" hidden="1" customWidth="1"/>
    <col min="28" max="28" width="6.5703125" style="1" hidden="1" customWidth="1"/>
    <col min="29" max="30" width="4.85546875" style="1" hidden="1" customWidth="1"/>
    <col min="31" max="31" width="4.85546875" style="1" customWidth="1"/>
    <col min="32" max="32" width="5.7109375" style="1" hidden="1" customWidth="1"/>
    <col min="33" max="33" width="5.28515625" style="1" customWidth="1"/>
    <col min="34" max="34" width="5.42578125" style="1" hidden="1" customWidth="1"/>
    <col min="35" max="36" width="5.28515625" style="1" hidden="1" customWidth="1"/>
    <col min="37" max="37" width="4.85546875" style="1" hidden="1" customWidth="1"/>
    <col min="38" max="38" width="5.85546875" style="1" hidden="1" customWidth="1"/>
    <col min="39" max="40" width="4.85546875" style="1" hidden="1" customWidth="1"/>
    <col min="41" max="41" width="4.7109375" style="1" hidden="1" customWidth="1"/>
    <col min="42" max="42" width="5.42578125" style="1" hidden="1" customWidth="1"/>
    <col min="43" max="43" width="5.42578125" style="1" customWidth="1"/>
    <col min="44" max="44" width="6.140625" style="1" hidden="1" customWidth="1"/>
    <col min="45" max="46" width="4.85546875" style="1" hidden="1" customWidth="1"/>
    <col min="47" max="47" width="5.42578125" style="1" hidden="1" customWidth="1"/>
    <col min="48" max="48" width="5.140625" style="1" hidden="1" customWidth="1"/>
    <col min="49" max="49" width="5.28515625" style="1" hidden="1" customWidth="1"/>
    <col min="50" max="51" width="5.42578125" style="1" hidden="1" customWidth="1"/>
    <col min="52" max="52" width="5.7109375" style="1" customWidth="1"/>
    <col min="53" max="53" width="5.7109375" style="1" hidden="1" customWidth="1"/>
    <col min="54" max="56" width="4.85546875" style="1" hidden="1" customWidth="1"/>
    <col min="57" max="57" width="4.85546875" style="1" customWidth="1"/>
    <col min="58" max="63" width="4.85546875" style="1" hidden="1" customWidth="1"/>
    <col min="64" max="64" width="5.85546875" style="1" hidden="1" customWidth="1"/>
    <col min="65" max="65" width="6" style="1" hidden="1" customWidth="1"/>
    <col min="66" max="66" width="4.85546875" style="1" hidden="1" customWidth="1"/>
    <col min="67" max="67" width="5.42578125" style="1" hidden="1" customWidth="1"/>
    <col min="68" max="68" width="4.85546875" style="1" hidden="1" customWidth="1"/>
    <col min="69" max="69" width="5.28515625" style="1" hidden="1" customWidth="1"/>
    <col min="70" max="70" width="6.140625" style="1" hidden="1" customWidth="1"/>
    <col min="71" max="71" width="4.85546875" style="1" customWidth="1"/>
    <col min="72" max="72" width="5.42578125" style="1" customWidth="1"/>
    <col min="73" max="73" width="4.85546875" style="1" customWidth="1"/>
    <col min="74" max="74" width="5" style="1" customWidth="1"/>
    <col min="75" max="77" width="4.85546875" style="1" hidden="1" customWidth="1"/>
    <col min="78" max="78" width="5.42578125" style="1" hidden="1" customWidth="1"/>
    <col min="79" max="79" width="5.85546875" style="1" hidden="1" customWidth="1"/>
    <col min="80" max="80" width="5" style="1" hidden="1" customWidth="1"/>
    <col min="81" max="81" width="5" style="1" customWidth="1"/>
    <col min="82" max="89" width="4.85546875" style="1" hidden="1" customWidth="1"/>
    <col min="90" max="90" width="10.28515625" style="1" customWidth="1"/>
    <col min="91" max="94" width="9" style="1" hidden="1" customWidth="1"/>
    <col min="95" max="16384" width="9.140625" style="1"/>
  </cols>
  <sheetData>
    <row r="1" spans="1:90" ht="15.75">
      <c r="A1" s="34">
        <v>46309</v>
      </c>
      <c r="B1" s="34"/>
      <c r="C1" s="2"/>
      <c r="E1" s="3"/>
      <c r="F1" s="35" t="str">
        <f>'1'!F1:U1</f>
        <v xml:space="preserve"> -МТТ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27" t="s">
        <v>0</v>
      </c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</row>
    <row r="2" spans="1:90" ht="15.75" customHeight="1">
      <c r="B2" s="2"/>
      <c r="C2" s="2"/>
      <c r="F2" s="36" t="s">
        <v>1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27" t="s">
        <v>104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</row>
    <row r="3" spans="1:90" ht="23.25" customHeight="1">
      <c r="A3" s="33" t="s">
        <v>2</v>
      </c>
      <c r="B3" s="33"/>
      <c r="C3" s="4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7" t="s">
        <v>3</v>
      </c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</row>
    <row r="4" spans="1:90" ht="15.75" customHeight="1">
      <c r="A4" s="28"/>
      <c r="B4" s="29"/>
      <c r="C4" s="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1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</row>
    <row r="5" spans="1:90" ht="75" customHeight="1">
      <c r="A5" s="42" t="s">
        <v>4</v>
      </c>
      <c r="B5" s="43"/>
      <c r="C5" s="44"/>
      <c r="D5" s="41" t="s">
        <v>5</v>
      </c>
      <c r="E5" s="41"/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  <c r="O5" s="7" t="s">
        <v>15</v>
      </c>
      <c r="P5" s="7" t="s">
        <v>16</v>
      </c>
      <c r="Q5" s="7" t="s">
        <v>17</v>
      </c>
      <c r="R5" s="7" t="s">
        <v>18</v>
      </c>
      <c r="S5" s="7" t="s">
        <v>19</v>
      </c>
      <c r="T5" s="7" t="s">
        <v>20</v>
      </c>
      <c r="U5" s="7" t="s">
        <v>21</v>
      </c>
      <c r="V5" s="7" t="s">
        <v>22</v>
      </c>
      <c r="W5" s="7" t="s">
        <v>23</v>
      </c>
      <c r="X5" s="7" t="s">
        <v>24</v>
      </c>
      <c r="Y5" s="7" t="s">
        <v>25</v>
      </c>
      <c r="Z5" s="7" t="s">
        <v>26</v>
      </c>
      <c r="AA5" s="8" t="s">
        <v>27</v>
      </c>
      <c r="AB5" s="7" t="s">
        <v>28</v>
      </c>
      <c r="AC5" s="8" t="s">
        <v>29</v>
      </c>
      <c r="AD5" s="8" t="s">
        <v>30</v>
      </c>
      <c r="AE5" s="8" t="s">
        <v>31</v>
      </c>
      <c r="AF5" s="7" t="s">
        <v>32</v>
      </c>
      <c r="AG5" s="8" t="s">
        <v>33</v>
      </c>
      <c r="AH5" s="7" t="s">
        <v>34</v>
      </c>
      <c r="AI5" s="7" t="s">
        <v>35</v>
      </c>
      <c r="AJ5" s="7" t="s">
        <v>36</v>
      </c>
      <c r="AK5" s="7" t="s">
        <v>37</v>
      </c>
      <c r="AL5" s="8" t="s">
        <v>38</v>
      </c>
      <c r="AM5" s="7" t="s">
        <v>39</v>
      </c>
      <c r="AN5" s="7" t="s">
        <v>40</v>
      </c>
      <c r="AO5" s="7" t="s">
        <v>41</v>
      </c>
      <c r="AP5" s="7" t="s">
        <v>42</v>
      </c>
      <c r="AQ5" s="7" t="s">
        <v>43</v>
      </c>
      <c r="AR5" s="8" t="s">
        <v>44</v>
      </c>
      <c r="AS5" s="8" t="s">
        <v>45</v>
      </c>
      <c r="AT5" s="8" t="s">
        <v>46</v>
      </c>
      <c r="AU5" s="8" t="s">
        <v>47</v>
      </c>
      <c r="AV5" s="8" t="s">
        <v>48</v>
      </c>
      <c r="AW5" s="7" t="s">
        <v>49</v>
      </c>
      <c r="AX5" s="7" t="s">
        <v>50</v>
      </c>
      <c r="AY5" s="7" t="s">
        <v>51</v>
      </c>
      <c r="AZ5" s="7" t="s">
        <v>52</v>
      </c>
      <c r="BA5" s="9" t="s">
        <v>53</v>
      </c>
      <c r="BB5" s="7" t="s">
        <v>54</v>
      </c>
      <c r="BC5" s="7" t="s">
        <v>55</v>
      </c>
      <c r="BD5" s="8" t="s">
        <v>56</v>
      </c>
      <c r="BE5" s="7" t="s">
        <v>57</v>
      </c>
      <c r="BF5" s="7" t="s">
        <v>58</v>
      </c>
      <c r="BG5" s="7" t="s">
        <v>59</v>
      </c>
      <c r="BH5" s="8" t="s">
        <v>60</v>
      </c>
      <c r="BI5" s="7" t="s">
        <v>61</v>
      </c>
      <c r="BJ5" s="7" t="s">
        <v>62</v>
      </c>
      <c r="BK5" s="7" t="s">
        <v>63</v>
      </c>
      <c r="BL5" s="7" t="s">
        <v>64</v>
      </c>
      <c r="BM5" s="7" t="s">
        <v>65</v>
      </c>
      <c r="BN5" s="7" t="s">
        <v>66</v>
      </c>
      <c r="BO5" s="7" t="s">
        <v>67</v>
      </c>
      <c r="BP5" s="7" t="s">
        <v>68</v>
      </c>
      <c r="BQ5" s="7" t="s">
        <v>69</v>
      </c>
      <c r="BR5" s="7" t="s">
        <v>70</v>
      </c>
      <c r="BS5" s="7" t="s">
        <v>71</v>
      </c>
      <c r="BT5" s="7" t="s">
        <v>72</v>
      </c>
      <c r="BU5" s="7" t="s">
        <v>73</v>
      </c>
      <c r="BV5" s="7" t="s">
        <v>74</v>
      </c>
      <c r="BW5" s="7" t="s">
        <v>75</v>
      </c>
      <c r="BX5" s="10" t="s">
        <v>76</v>
      </c>
      <c r="BY5" s="7" t="s">
        <v>77</v>
      </c>
      <c r="BZ5" s="7" t="s">
        <v>78</v>
      </c>
      <c r="CA5" s="10" t="s">
        <v>79</v>
      </c>
      <c r="CB5" s="10" t="s">
        <v>80</v>
      </c>
      <c r="CC5" s="10" t="s">
        <v>81</v>
      </c>
      <c r="CD5" s="7" t="s">
        <v>82</v>
      </c>
      <c r="CE5" s="7" t="s">
        <v>83</v>
      </c>
      <c r="CF5" s="7" t="s">
        <v>84</v>
      </c>
      <c r="CG5" s="7"/>
      <c r="CH5" s="7"/>
      <c r="CI5" s="7"/>
      <c r="CJ5" s="7"/>
      <c r="CK5" s="7"/>
      <c r="CL5" s="10" t="s">
        <v>87</v>
      </c>
    </row>
    <row r="6" spans="1:90" ht="24.75" customHeight="1">
      <c r="A6" s="47" t="s">
        <v>88</v>
      </c>
      <c r="B6" s="45" t="s">
        <v>144</v>
      </c>
      <c r="C6" s="46"/>
      <c r="D6" s="37">
        <v>180</v>
      </c>
      <c r="E6" s="38"/>
      <c r="F6" s="12"/>
      <c r="G6" s="12"/>
      <c r="H6" s="12"/>
      <c r="I6" s="12"/>
      <c r="J6" s="12"/>
      <c r="K6" s="12">
        <v>3.6</v>
      </c>
      <c r="L6" s="12"/>
      <c r="M6" s="12"/>
      <c r="N6" s="12"/>
      <c r="O6" s="12"/>
      <c r="P6" s="12">
        <v>1.08</v>
      </c>
      <c r="Q6" s="12">
        <v>2.4</v>
      </c>
      <c r="R6" s="12"/>
      <c r="S6" s="12"/>
      <c r="T6" s="12"/>
      <c r="U6" s="12"/>
      <c r="V6" s="12"/>
      <c r="W6" s="12">
        <v>72</v>
      </c>
      <c r="X6" s="12"/>
      <c r="Y6" s="12"/>
      <c r="Z6" s="12"/>
      <c r="AA6" s="12"/>
      <c r="AB6" s="12"/>
      <c r="AC6" s="12"/>
      <c r="AD6" s="12"/>
      <c r="AE6" s="12"/>
      <c r="AF6" s="12"/>
      <c r="AG6" s="12">
        <v>27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3">
        <f t="shared" ref="CL6:CL26" si="0">SUM(F6:CK6)</f>
        <v>106.08</v>
      </c>
    </row>
    <row r="7" spans="1:90" ht="24.75" customHeight="1">
      <c r="A7" s="48"/>
      <c r="B7" s="28" t="s">
        <v>118</v>
      </c>
      <c r="C7" s="29"/>
      <c r="D7" s="37">
        <v>150</v>
      </c>
      <c r="E7" s="38"/>
      <c r="F7" s="12"/>
      <c r="G7" s="12">
        <v>0.2</v>
      </c>
      <c r="H7" s="12"/>
      <c r="I7" s="12"/>
      <c r="J7" s="12"/>
      <c r="K7" s="12">
        <v>6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>
        <v>100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3">
        <f t="shared" si="0"/>
        <v>106.2</v>
      </c>
    </row>
    <row r="8" spans="1:90" ht="24.75" customHeight="1">
      <c r="A8" s="48"/>
      <c r="B8" s="28" t="s">
        <v>139</v>
      </c>
      <c r="C8" s="29"/>
      <c r="D8" s="37">
        <v>55</v>
      </c>
      <c r="E8" s="38"/>
      <c r="F8" s="12">
        <v>30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>
        <v>10</v>
      </c>
      <c r="R8" s="12"/>
      <c r="S8" s="12"/>
      <c r="T8" s="12"/>
      <c r="U8" s="12"/>
      <c r="V8" s="12"/>
      <c r="W8" s="12"/>
      <c r="X8" s="12">
        <v>16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3">
        <f t="shared" si="0"/>
        <v>56</v>
      </c>
    </row>
    <row r="9" spans="1:90" ht="24.75" hidden="1" customHeight="1">
      <c r="A9" s="49"/>
      <c r="B9" s="28"/>
      <c r="C9" s="29"/>
      <c r="D9" s="37"/>
      <c r="E9" s="38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3">
        <f t="shared" si="0"/>
        <v>0</v>
      </c>
    </row>
    <row r="10" spans="1:90" ht="27" customHeight="1">
      <c r="A10" s="47" t="s">
        <v>90</v>
      </c>
      <c r="B10" s="45" t="s">
        <v>179</v>
      </c>
      <c r="C10" s="46"/>
      <c r="D10" s="37" t="s">
        <v>164</v>
      </c>
      <c r="E10" s="38"/>
      <c r="F10" s="12"/>
      <c r="G10" s="12"/>
      <c r="H10" s="12">
        <v>23.1</v>
      </c>
      <c r="I10" s="12"/>
      <c r="J10" s="12"/>
      <c r="K10" s="12"/>
      <c r="L10" s="12"/>
      <c r="M10" s="12">
        <v>25</v>
      </c>
      <c r="N10" s="12">
        <v>7.5</v>
      </c>
      <c r="O10" s="12">
        <v>7.1</v>
      </c>
      <c r="P10" s="12">
        <v>0.5</v>
      </c>
      <c r="Q10" s="12">
        <v>3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>
        <v>12.2</v>
      </c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3">
        <f t="shared" si="0"/>
        <v>78.400000000000006</v>
      </c>
    </row>
    <row r="11" spans="1:90" ht="27" customHeight="1">
      <c r="A11" s="48"/>
      <c r="B11" s="61" t="s">
        <v>180</v>
      </c>
      <c r="C11" s="62"/>
      <c r="D11" s="39">
        <v>50</v>
      </c>
      <c r="E11" s="40"/>
      <c r="F11" s="12"/>
      <c r="G11" s="12"/>
      <c r="H11" s="12">
        <v>50.9</v>
      </c>
      <c r="I11" s="12"/>
      <c r="J11" s="12"/>
      <c r="K11" s="12"/>
      <c r="L11" s="12"/>
      <c r="M11" s="12"/>
      <c r="N11" s="12">
        <v>7.8</v>
      </c>
      <c r="O11" s="12">
        <v>6.8</v>
      </c>
      <c r="P11" s="12">
        <v>0.6</v>
      </c>
      <c r="Q11" s="12">
        <v>2.5</v>
      </c>
      <c r="R11" s="12"/>
      <c r="S11" s="12"/>
      <c r="T11" s="12"/>
      <c r="U11" s="12"/>
      <c r="V11" s="12"/>
      <c r="W11" s="12"/>
      <c r="X11" s="12"/>
      <c r="Y11" s="12"/>
      <c r="Z11" s="12">
        <v>0.7</v>
      </c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>
        <v>1</v>
      </c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3">
        <f t="shared" si="0"/>
        <v>70.3</v>
      </c>
    </row>
    <row r="12" spans="1:90" ht="27" customHeight="1">
      <c r="A12" s="48"/>
      <c r="B12" s="41" t="s">
        <v>181</v>
      </c>
      <c r="C12" s="41"/>
      <c r="D12" s="39">
        <v>100</v>
      </c>
      <c r="E12" s="40"/>
      <c r="F12" s="12"/>
      <c r="G12" s="12"/>
      <c r="H12" s="12"/>
      <c r="I12" s="12"/>
      <c r="J12" s="12"/>
      <c r="K12" s="12"/>
      <c r="L12" s="12"/>
      <c r="M12" s="12">
        <v>41.3</v>
      </c>
      <c r="N12" s="12"/>
      <c r="O12" s="12"/>
      <c r="P12" s="12">
        <v>0.8</v>
      </c>
      <c r="Q12" s="12">
        <v>2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>
        <v>41.3</v>
      </c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>
        <v>42.3</v>
      </c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3">
        <f t="shared" si="0"/>
        <v>127.69999999999999</v>
      </c>
    </row>
    <row r="13" spans="1:90" ht="27" customHeight="1">
      <c r="A13" s="48"/>
      <c r="B13" s="41" t="s">
        <v>112</v>
      </c>
      <c r="C13" s="41"/>
      <c r="D13" s="39">
        <v>45</v>
      </c>
      <c r="E13" s="40"/>
      <c r="F13" s="12"/>
      <c r="G13" s="12"/>
      <c r="H13" s="12"/>
      <c r="I13" s="12"/>
      <c r="J13" s="12">
        <v>1</v>
      </c>
      <c r="K13" s="12"/>
      <c r="L13" s="12"/>
      <c r="M13" s="12"/>
      <c r="N13" s="12"/>
      <c r="O13" s="12"/>
      <c r="P13" s="12">
        <v>0.3</v>
      </c>
      <c r="Q13" s="12"/>
      <c r="R13" s="12">
        <v>28.1</v>
      </c>
      <c r="S13" s="12">
        <v>25.9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3">
        <f t="shared" si="0"/>
        <v>55.3</v>
      </c>
    </row>
    <row r="14" spans="1:90" ht="27" customHeight="1">
      <c r="A14" s="48"/>
      <c r="B14" s="28" t="s">
        <v>148</v>
      </c>
      <c r="C14" s="29"/>
      <c r="D14" s="37">
        <v>150</v>
      </c>
      <c r="E14" s="38"/>
      <c r="F14" s="12"/>
      <c r="G14" s="12"/>
      <c r="H14" s="12"/>
      <c r="I14" s="12"/>
      <c r="J14" s="12"/>
      <c r="K14" s="12">
        <v>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>
        <v>3.8</v>
      </c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>
        <v>3.8</v>
      </c>
      <c r="BU14" s="12"/>
      <c r="BV14" s="12">
        <v>3.8</v>
      </c>
      <c r="BW14" s="12"/>
      <c r="BX14" s="12"/>
      <c r="BY14" s="12"/>
      <c r="BZ14" s="12"/>
      <c r="CA14" s="12"/>
      <c r="CB14" s="12"/>
      <c r="CC14" s="12">
        <v>3.8</v>
      </c>
      <c r="CD14" s="12"/>
      <c r="CE14" s="12"/>
      <c r="CF14" s="12"/>
      <c r="CG14" s="12"/>
      <c r="CH14" s="12"/>
      <c r="CI14" s="12"/>
      <c r="CJ14" s="12"/>
      <c r="CK14" s="12"/>
      <c r="CL14" s="13">
        <f t="shared" si="0"/>
        <v>23.200000000000003</v>
      </c>
    </row>
    <row r="15" spans="1:90" ht="24.75" customHeight="1">
      <c r="A15" s="48"/>
      <c r="B15" s="28" t="s">
        <v>136</v>
      </c>
      <c r="C15" s="29"/>
      <c r="D15" s="37">
        <v>60</v>
      </c>
      <c r="E15" s="38"/>
      <c r="F15" s="12">
        <v>60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3">
        <f t="shared" si="0"/>
        <v>60</v>
      </c>
    </row>
    <row r="16" spans="1:90" ht="24.75" hidden="1" customHeight="1">
      <c r="A16" s="48"/>
      <c r="B16" s="28"/>
      <c r="C16" s="29"/>
      <c r="D16" s="37"/>
      <c r="E16" s="3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3">
        <f t="shared" si="0"/>
        <v>0</v>
      </c>
    </row>
    <row r="17" spans="1:90" ht="24.75" hidden="1" customHeight="1">
      <c r="A17" s="49"/>
      <c r="B17" s="28"/>
      <c r="C17" s="29"/>
      <c r="D17" s="37"/>
      <c r="E17" s="38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3">
        <f t="shared" si="0"/>
        <v>0</v>
      </c>
    </row>
    <row r="18" spans="1:90" ht="24.75" customHeight="1">
      <c r="A18" s="57" t="s">
        <v>95</v>
      </c>
      <c r="B18" s="45" t="s">
        <v>182</v>
      </c>
      <c r="C18" s="46"/>
      <c r="D18" s="52">
        <v>70</v>
      </c>
      <c r="E18" s="52"/>
      <c r="F18" s="12"/>
      <c r="G18" s="12"/>
      <c r="H18" s="12"/>
      <c r="I18" s="12"/>
      <c r="J18" s="12"/>
      <c r="K18" s="12">
        <v>0.8</v>
      </c>
      <c r="L18" s="12"/>
      <c r="N18" s="12"/>
      <c r="O18" s="12"/>
      <c r="P18" s="12">
        <v>0.6</v>
      </c>
      <c r="Q18" s="12">
        <v>15</v>
      </c>
      <c r="R18" s="12"/>
      <c r="S18" s="12"/>
      <c r="T18" s="12">
        <v>4.3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>
        <v>7</v>
      </c>
      <c r="AR18" s="12"/>
      <c r="AS18" s="12"/>
      <c r="AT18" s="12"/>
      <c r="AU18" s="12"/>
      <c r="AV18" s="12"/>
      <c r="AW18" s="12"/>
      <c r="AX18" s="12"/>
      <c r="AY18" s="12"/>
      <c r="AZ18" s="12">
        <v>30.6</v>
      </c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>
        <v>7</v>
      </c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3">
        <f t="shared" si="0"/>
        <v>65.3</v>
      </c>
    </row>
    <row r="19" spans="1:90" ht="24.75" customHeight="1">
      <c r="A19" s="58"/>
      <c r="B19" s="45" t="s">
        <v>99</v>
      </c>
      <c r="C19" s="46"/>
      <c r="D19" s="52">
        <v>150</v>
      </c>
      <c r="E19" s="5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>
        <v>150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3">
        <f t="shared" si="0"/>
        <v>150</v>
      </c>
    </row>
    <row r="20" spans="1:90" ht="24.75" hidden="1" customHeight="1">
      <c r="A20" s="58"/>
      <c r="B20" s="45"/>
      <c r="C20" s="46"/>
      <c r="D20" s="37"/>
      <c r="E20" s="38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3">
        <f t="shared" si="0"/>
        <v>0</v>
      </c>
    </row>
    <row r="21" spans="1:90" ht="24.75" hidden="1" customHeight="1">
      <c r="A21" s="58"/>
      <c r="B21" s="50"/>
      <c r="C21" s="51"/>
      <c r="D21" s="37"/>
      <c r="E21" s="3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3">
        <f t="shared" si="0"/>
        <v>0</v>
      </c>
    </row>
    <row r="22" spans="1:90" ht="24" hidden="1" customHeight="1">
      <c r="A22" s="59"/>
      <c r="B22" s="45"/>
      <c r="C22" s="46"/>
      <c r="D22" s="37"/>
      <c r="E22" s="38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3">
        <f t="shared" si="0"/>
        <v>0</v>
      </c>
    </row>
    <row r="23" spans="1:90" ht="24.75" hidden="1" customHeight="1">
      <c r="A23" s="60"/>
      <c r="B23" s="28"/>
      <c r="C23" s="29"/>
      <c r="D23" s="52"/>
      <c r="E23" s="5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3">
        <f t="shared" si="0"/>
        <v>0</v>
      </c>
    </row>
    <row r="24" spans="1:90" ht="24.75" hidden="1" customHeight="1">
      <c r="A24" s="60"/>
      <c r="B24" s="28"/>
      <c r="C24" s="29"/>
      <c r="D24" s="52"/>
      <c r="E24" s="5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3">
        <f t="shared" si="0"/>
        <v>0</v>
      </c>
    </row>
    <row r="25" spans="1:90" ht="24.75" hidden="1" customHeight="1">
      <c r="A25" s="60"/>
      <c r="B25" s="28"/>
      <c r="C25" s="29"/>
      <c r="D25" s="52"/>
      <c r="E25" s="5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3">
        <f t="shared" si="0"/>
        <v>0</v>
      </c>
    </row>
    <row r="26" spans="1:90" ht="0.75" customHeight="1">
      <c r="A26" s="60"/>
      <c r="B26" s="33"/>
      <c r="C26" s="33"/>
      <c r="D26" s="52"/>
      <c r="E26" s="5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3">
        <f t="shared" si="0"/>
        <v>0</v>
      </c>
    </row>
    <row r="27" spans="1:90" ht="18.75" customHeight="1">
      <c r="A27" s="53" t="s">
        <v>100</v>
      </c>
      <c r="B27" s="54"/>
      <c r="C27" s="54"/>
      <c r="D27" s="55"/>
      <c r="E27" s="18"/>
      <c r="F27" s="19">
        <f t="shared" ref="F27:BQ27" si="1">SUM(F6:F22)</f>
        <v>90</v>
      </c>
      <c r="G27" s="19">
        <f t="shared" si="1"/>
        <v>0.2</v>
      </c>
      <c r="H27" s="19">
        <f t="shared" si="1"/>
        <v>74</v>
      </c>
      <c r="I27" s="19">
        <f t="shared" si="1"/>
        <v>0</v>
      </c>
      <c r="J27" s="19">
        <f t="shared" si="1"/>
        <v>1</v>
      </c>
      <c r="K27" s="19">
        <f t="shared" si="1"/>
        <v>18.400000000000002</v>
      </c>
      <c r="L27" s="19">
        <f t="shared" si="1"/>
        <v>0</v>
      </c>
      <c r="M27" s="19">
        <f t="shared" si="1"/>
        <v>66.3</v>
      </c>
      <c r="N27" s="19">
        <f t="shared" si="1"/>
        <v>15.3</v>
      </c>
      <c r="O27" s="19">
        <f t="shared" si="1"/>
        <v>13.899999999999999</v>
      </c>
      <c r="P27" s="19">
        <f t="shared" si="1"/>
        <v>3.8800000000000003</v>
      </c>
      <c r="Q27" s="19">
        <f t="shared" si="1"/>
        <v>34.9</v>
      </c>
      <c r="R27" s="19">
        <f t="shared" si="1"/>
        <v>28.1</v>
      </c>
      <c r="S27" s="19">
        <f t="shared" si="1"/>
        <v>25.9</v>
      </c>
      <c r="T27" s="19">
        <f t="shared" si="1"/>
        <v>4.3</v>
      </c>
      <c r="U27" s="19">
        <f t="shared" si="1"/>
        <v>150</v>
      </c>
      <c r="V27" s="19">
        <f t="shared" si="1"/>
        <v>0</v>
      </c>
      <c r="W27" s="19">
        <f t="shared" si="1"/>
        <v>172</v>
      </c>
      <c r="X27" s="19">
        <f t="shared" si="1"/>
        <v>16</v>
      </c>
      <c r="Y27" s="19">
        <f t="shared" si="1"/>
        <v>0</v>
      </c>
      <c r="Z27" s="19">
        <f t="shared" si="1"/>
        <v>0.7</v>
      </c>
      <c r="AA27" s="19">
        <f t="shared" si="1"/>
        <v>0</v>
      </c>
      <c r="AB27" s="19">
        <f t="shared" si="1"/>
        <v>0</v>
      </c>
      <c r="AC27" s="19">
        <f t="shared" si="1"/>
        <v>0</v>
      </c>
      <c r="AD27" s="19">
        <f t="shared" si="1"/>
        <v>0</v>
      </c>
      <c r="AE27" s="19">
        <f t="shared" si="1"/>
        <v>12.2</v>
      </c>
      <c r="AF27" s="19">
        <f t="shared" si="1"/>
        <v>0</v>
      </c>
      <c r="AG27" s="19">
        <f t="shared" si="1"/>
        <v>27</v>
      </c>
      <c r="AH27" s="19">
        <f t="shared" si="1"/>
        <v>0</v>
      </c>
      <c r="AI27" s="19">
        <f t="shared" si="1"/>
        <v>0</v>
      </c>
      <c r="AJ27" s="19">
        <f t="shared" si="1"/>
        <v>0</v>
      </c>
      <c r="AK27" s="19">
        <f t="shared" si="1"/>
        <v>0</v>
      </c>
      <c r="AL27" s="19">
        <f t="shared" si="1"/>
        <v>0</v>
      </c>
      <c r="AM27" s="19">
        <f t="shared" si="1"/>
        <v>0</v>
      </c>
      <c r="AN27" s="19">
        <f t="shared" si="1"/>
        <v>0</v>
      </c>
      <c r="AO27" s="19">
        <f t="shared" si="1"/>
        <v>0</v>
      </c>
      <c r="AP27" s="19">
        <f t="shared" si="1"/>
        <v>0</v>
      </c>
      <c r="AQ27" s="19">
        <f t="shared" si="1"/>
        <v>10.8</v>
      </c>
      <c r="AR27" s="19">
        <f t="shared" si="1"/>
        <v>0</v>
      </c>
      <c r="AS27" s="19">
        <f t="shared" si="1"/>
        <v>0</v>
      </c>
      <c r="AT27" s="19">
        <f t="shared" si="1"/>
        <v>0</v>
      </c>
      <c r="AU27" s="19">
        <f t="shared" si="1"/>
        <v>0</v>
      </c>
      <c r="AV27" s="19">
        <f t="shared" si="1"/>
        <v>0</v>
      </c>
      <c r="AW27" s="19">
        <f t="shared" si="1"/>
        <v>0</v>
      </c>
      <c r="AX27" s="19">
        <f t="shared" si="1"/>
        <v>0</v>
      </c>
      <c r="AY27" s="19">
        <f t="shared" si="1"/>
        <v>0</v>
      </c>
      <c r="AZ27" s="19">
        <f t="shared" si="1"/>
        <v>31.6</v>
      </c>
      <c r="BA27" s="19">
        <f t="shared" si="1"/>
        <v>0</v>
      </c>
      <c r="BB27" s="19">
        <f t="shared" si="1"/>
        <v>0</v>
      </c>
      <c r="BC27" s="19">
        <f t="shared" si="1"/>
        <v>0</v>
      </c>
      <c r="BD27" s="19">
        <f t="shared" si="1"/>
        <v>0</v>
      </c>
      <c r="BE27" s="19">
        <f t="shared" si="1"/>
        <v>41.3</v>
      </c>
      <c r="BF27" s="19">
        <f t="shared" si="1"/>
        <v>0</v>
      </c>
      <c r="BG27" s="19">
        <f t="shared" si="1"/>
        <v>0</v>
      </c>
      <c r="BH27" s="19">
        <f t="shared" si="1"/>
        <v>0</v>
      </c>
      <c r="BI27" s="19">
        <f t="shared" si="1"/>
        <v>0</v>
      </c>
      <c r="BJ27" s="19">
        <f t="shared" si="1"/>
        <v>0</v>
      </c>
      <c r="BK27" s="19">
        <f t="shared" si="1"/>
        <v>0</v>
      </c>
      <c r="BL27" s="19">
        <f t="shared" si="1"/>
        <v>0</v>
      </c>
      <c r="BM27" s="19">
        <f t="shared" si="1"/>
        <v>0</v>
      </c>
      <c r="BN27" s="19">
        <f t="shared" si="1"/>
        <v>0</v>
      </c>
      <c r="BO27" s="19">
        <f t="shared" si="1"/>
        <v>0</v>
      </c>
      <c r="BP27" s="19">
        <f t="shared" si="1"/>
        <v>0</v>
      </c>
      <c r="BQ27" s="19">
        <f t="shared" si="1"/>
        <v>0</v>
      </c>
      <c r="BR27" s="19">
        <f t="shared" ref="BR27:CK27" si="2">SUM(BR6:BR22)</f>
        <v>0</v>
      </c>
      <c r="BS27" s="19">
        <f t="shared" si="2"/>
        <v>42.3</v>
      </c>
      <c r="BT27" s="19">
        <f t="shared" si="2"/>
        <v>3.8</v>
      </c>
      <c r="BU27" s="19">
        <f t="shared" si="2"/>
        <v>7</v>
      </c>
      <c r="BV27" s="19">
        <f t="shared" si="2"/>
        <v>3.8</v>
      </c>
      <c r="BW27" s="19">
        <f t="shared" si="2"/>
        <v>0</v>
      </c>
      <c r="BX27" s="19">
        <f t="shared" si="2"/>
        <v>0</v>
      </c>
      <c r="BY27" s="19">
        <f t="shared" si="2"/>
        <v>0</v>
      </c>
      <c r="BZ27" s="19">
        <f t="shared" si="2"/>
        <v>0</v>
      </c>
      <c r="CA27" s="19">
        <f t="shared" si="2"/>
        <v>0</v>
      </c>
      <c r="CB27" s="19">
        <f t="shared" si="2"/>
        <v>0</v>
      </c>
      <c r="CC27" s="19">
        <f t="shared" si="2"/>
        <v>3.8</v>
      </c>
      <c r="CD27" s="19">
        <f t="shared" si="2"/>
        <v>0</v>
      </c>
      <c r="CE27" s="19">
        <f t="shared" si="2"/>
        <v>0</v>
      </c>
      <c r="CF27" s="19">
        <f t="shared" si="2"/>
        <v>0</v>
      </c>
      <c r="CG27" s="19">
        <f t="shared" si="2"/>
        <v>0</v>
      </c>
      <c r="CH27" s="19">
        <f t="shared" si="2"/>
        <v>0</v>
      </c>
      <c r="CI27" s="19">
        <f t="shared" si="2"/>
        <v>0</v>
      </c>
      <c r="CJ27" s="19">
        <f t="shared" si="2"/>
        <v>0</v>
      </c>
      <c r="CK27" s="19">
        <f t="shared" si="2"/>
        <v>0</v>
      </c>
      <c r="CL27" s="13"/>
    </row>
    <row r="28" spans="1:90" ht="18.75" hidden="1" customHeight="1">
      <c r="A28" s="15"/>
      <c r="B28" s="16"/>
      <c r="C28" s="16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3"/>
    </row>
    <row r="29" spans="1:90" ht="18.75" hidden="1" customHeight="1">
      <c r="A29" s="15"/>
      <c r="B29" s="16"/>
      <c r="C29" s="16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3"/>
    </row>
    <row r="30" spans="1:90" ht="18.75" customHeight="1">
      <c r="A30" s="53" t="s">
        <v>101</v>
      </c>
      <c r="B30" s="54"/>
      <c r="C30" s="54"/>
      <c r="D30" s="55"/>
      <c r="E30" s="18"/>
      <c r="F30" s="20">
        <f>+F27*$A$4/1000</f>
        <v>0</v>
      </c>
      <c r="G30" s="20">
        <f t="shared" ref="G30:BR30" si="3">+G27*$A$4/1000</f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4">
        <f>+T27*$A$4/55</f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  <c r="X30" s="20">
        <f t="shared" si="3"/>
        <v>0</v>
      </c>
      <c r="Y30" s="20">
        <f t="shared" si="3"/>
        <v>0</v>
      </c>
      <c r="Z30" s="20">
        <f t="shared" si="3"/>
        <v>0</v>
      </c>
      <c r="AA30" s="20">
        <f t="shared" si="3"/>
        <v>0</v>
      </c>
      <c r="AB30" s="20">
        <f t="shared" si="3"/>
        <v>0</v>
      </c>
      <c r="AC30" s="20">
        <f t="shared" si="3"/>
        <v>0</v>
      </c>
      <c r="AD30" s="20">
        <f t="shared" si="3"/>
        <v>0</v>
      </c>
      <c r="AE30" s="20">
        <f t="shared" si="3"/>
        <v>0</v>
      </c>
      <c r="AF30" s="20">
        <f t="shared" si="3"/>
        <v>0</v>
      </c>
      <c r="AG30" s="20">
        <f t="shared" si="3"/>
        <v>0</v>
      </c>
      <c r="AH30" s="20">
        <f t="shared" si="3"/>
        <v>0</v>
      </c>
      <c r="AI30" s="20">
        <f t="shared" si="3"/>
        <v>0</v>
      </c>
      <c r="AJ30" s="20">
        <f t="shared" si="3"/>
        <v>0</v>
      </c>
      <c r="AK30" s="20">
        <f t="shared" si="3"/>
        <v>0</v>
      </c>
      <c r="AL30" s="20">
        <f t="shared" si="3"/>
        <v>0</v>
      </c>
      <c r="AM30" s="20">
        <f t="shared" si="3"/>
        <v>0</v>
      </c>
      <c r="AN30" s="20">
        <f t="shared" si="3"/>
        <v>0</v>
      </c>
      <c r="AO30" s="20">
        <f t="shared" si="3"/>
        <v>0</v>
      </c>
      <c r="AP30" s="20">
        <f t="shared" si="3"/>
        <v>0</v>
      </c>
      <c r="AQ30" s="20">
        <f t="shared" si="3"/>
        <v>0</v>
      </c>
      <c r="AR30" s="20">
        <f t="shared" si="3"/>
        <v>0</v>
      </c>
      <c r="AS30" s="20">
        <f t="shared" si="3"/>
        <v>0</v>
      </c>
      <c r="AT30" s="20">
        <f t="shared" si="3"/>
        <v>0</v>
      </c>
      <c r="AU30" s="20">
        <f t="shared" si="3"/>
        <v>0</v>
      </c>
      <c r="AV30" s="20">
        <f t="shared" si="3"/>
        <v>0</v>
      </c>
      <c r="AW30" s="20">
        <f t="shared" si="3"/>
        <v>0</v>
      </c>
      <c r="AX30" s="20">
        <f t="shared" si="3"/>
        <v>0</v>
      </c>
      <c r="AY30" s="20">
        <f t="shared" si="3"/>
        <v>0</v>
      </c>
      <c r="AZ30" s="20">
        <f t="shared" si="3"/>
        <v>0</v>
      </c>
      <c r="BA30" s="20">
        <f t="shared" si="3"/>
        <v>0</v>
      </c>
      <c r="BB30" s="20">
        <f t="shared" si="3"/>
        <v>0</v>
      </c>
      <c r="BC30" s="20">
        <f t="shared" si="3"/>
        <v>0</v>
      </c>
      <c r="BD30" s="20">
        <f t="shared" si="3"/>
        <v>0</v>
      </c>
      <c r="BE30" s="20">
        <f t="shared" si="3"/>
        <v>0</v>
      </c>
      <c r="BF30" s="20">
        <f t="shared" si="3"/>
        <v>0</v>
      </c>
      <c r="BG30" s="20">
        <f t="shared" si="3"/>
        <v>0</v>
      </c>
      <c r="BH30" s="20">
        <f t="shared" si="3"/>
        <v>0</v>
      </c>
      <c r="BI30" s="20">
        <f t="shared" si="3"/>
        <v>0</v>
      </c>
      <c r="BJ30" s="20">
        <f t="shared" si="3"/>
        <v>0</v>
      </c>
      <c r="BK30" s="20">
        <f t="shared" si="3"/>
        <v>0</v>
      </c>
      <c r="BL30" s="20">
        <f t="shared" si="3"/>
        <v>0</v>
      </c>
      <c r="BM30" s="20">
        <f t="shared" si="3"/>
        <v>0</v>
      </c>
      <c r="BN30" s="20">
        <f t="shared" si="3"/>
        <v>0</v>
      </c>
      <c r="BO30" s="20">
        <f t="shared" si="3"/>
        <v>0</v>
      </c>
      <c r="BP30" s="20">
        <f t="shared" si="3"/>
        <v>0</v>
      </c>
      <c r="BQ30" s="20">
        <f t="shared" si="3"/>
        <v>0</v>
      </c>
      <c r="BR30" s="20">
        <f t="shared" si="3"/>
        <v>0</v>
      </c>
      <c r="BS30" s="20">
        <f t="shared" ref="BS30:CK30" si="4">+BS27*$A$4/1000</f>
        <v>0</v>
      </c>
      <c r="BT30" s="20">
        <f t="shared" si="4"/>
        <v>0</v>
      </c>
      <c r="BU30" s="20">
        <f t="shared" si="4"/>
        <v>0</v>
      </c>
      <c r="BV30" s="20">
        <f t="shared" si="4"/>
        <v>0</v>
      </c>
      <c r="BW30" s="20">
        <f t="shared" si="4"/>
        <v>0</v>
      </c>
      <c r="BX30" s="20">
        <f t="shared" si="4"/>
        <v>0</v>
      </c>
      <c r="BY30" s="20">
        <f t="shared" si="4"/>
        <v>0</v>
      </c>
      <c r="BZ30" s="20">
        <f t="shared" si="4"/>
        <v>0</v>
      </c>
      <c r="CA30" s="20">
        <f t="shared" si="4"/>
        <v>0</v>
      </c>
      <c r="CB30" s="20">
        <f t="shared" si="4"/>
        <v>0</v>
      </c>
      <c r="CC30" s="19">
        <f t="shared" si="4"/>
        <v>0</v>
      </c>
      <c r="CD30" s="19">
        <f t="shared" si="4"/>
        <v>0</v>
      </c>
      <c r="CE30" s="19">
        <f t="shared" si="4"/>
        <v>0</v>
      </c>
      <c r="CF30" s="19">
        <f t="shared" si="4"/>
        <v>0</v>
      </c>
      <c r="CG30" s="19">
        <f t="shared" si="4"/>
        <v>0</v>
      </c>
      <c r="CH30" s="19">
        <f t="shared" si="4"/>
        <v>0</v>
      </c>
      <c r="CI30" s="19">
        <f t="shared" si="4"/>
        <v>0</v>
      </c>
      <c r="CJ30" s="19">
        <f t="shared" si="4"/>
        <v>0</v>
      </c>
      <c r="CK30" s="19">
        <f t="shared" si="4"/>
        <v>0</v>
      </c>
      <c r="CL30" s="13"/>
    </row>
    <row r="31" spans="1:9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21"/>
    </row>
    <row r="32" spans="1:90">
      <c r="A32" s="5"/>
      <c r="B32" s="5"/>
      <c r="C32" s="5"/>
      <c r="D32" s="5"/>
      <c r="E32" s="5"/>
      <c r="F32" s="56" t="s">
        <v>102</v>
      </c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"/>
      <c r="AG32" s="31" t="s">
        <v>103</v>
      </c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</row>
    <row r="33" spans="1:1">
      <c r="A33" s="22"/>
    </row>
  </sheetData>
  <autoFilter ref="A5:CL30" xr:uid="{00000000-0009-0000-0000-00000D000000}"/>
  <mergeCells count="69">
    <mergeCell ref="A10:A17"/>
    <mergeCell ref="A18:A22"/>
    <mergeCell ref="A23:A26"/>
    <mergeCell ref="B23:C23"/>
    <mergeCell ref="B26:C26"/>
    <mergeCell ref="B14:C14"/>
    <mergeCell ref="B17:C17"/>
    <mergeCell ref="B20:C20"/>
    <mergeCell ref="B11:C11"/>
    <mergeCell ref="B10:C10"/>
    <mergeCell ref="D23:E23"/>
    <mergeCell ref="B24:C24"/>
    <mergeCell ref="D24:E24"/>
    <mergeCell ref="B25:C25"/>
    <mergeCell ref="D25:E25"/>
    <mergeCell ref="D26:E26"/>
    <mergeCell ref="A27:D27"/>
    <mergeCell ref="A30:D30"/>
    <mergeCell ref="F32:AE32"/>
    <mergeCell ref="AG32:CL32"/>
    <mergeCell ref="D14:E14"/>
    <mergeCell ref="B15:C15"/>
    <mergeCell ref="D15:E15"/>
    <mergeCell ref="B16:C16"/>
    <mergeCell ref="D16:E16"/>
    <mergeCell ref="D17:E17"/>
    <mergeCell ref="B18:C18"/>
    <mergeCell ref="D18:E18"/>
    <mergeCell ref="B19:C19"/>
    <mergeCell ref="D19:E19"/>
    <mergeCell ref="D20:E20"/>
    <mergeCell ref="B21:C21"/>
    <mergeCell ref="D21:E21"/>
    <mergeCell ref="B22:C22"/>
    <mergeCell ref="D22:E22"/>
    <mergeCell ref="A5:C5"/>
    <mergeCell ref="D5:E5"/>
    <mergeCell ref="B6:C6"/>
    <mergeCell ref="D6:E6"/>
    <mergeCell ref="B7:C7"/>
    <mergeCell ref="D7:E7"/>
    <mergeCell ref="A6:A9"/>
    <mergeCell ref="B8:C8"/>
    <mergeCell ref="D8:E8"/>
    <mergeCell ref="B9:C9"/>
    <mergeCell ref="D9:E9"/>
    <mergeCell ref="D10:E10"/>
    <mergeCell ref="D11:E11"/>
    <mergeCell ref="B12:C12"/>
    <mergeCell ref="D12:E12"/>
    <mergeCell ref="B13:C13"/>
    <mergeCell ref="D13:E13"/>
    <mergeCell ref="A1:B1"/>
    <mergeCell ref="F1:U1"/>
    <mergeCell ref="V1:CL1"/>
    <mergeCell ref="F2:U2"/>
    <mergeCell ref="V2:CL2"/>
    <mergeCell ref="V3:CL3"/>
    <mergeCell ref="A4:B4"/>
    <mergeCell ref="D4:E4"/>
    <mergeCell ref="F4:K4"/>
    <mergeCell ref="L4:P4"/>
    <mergeCell ref="Q4:U4"/>
    <mergeCell ref="V4:BK4"/>
    <mergeCell ref="A3:B3"/>
    <mergeCell ref="D3:E3"/>
    <mergeCell ref="F3:K3"/>
    <mergeCell ref="L3:P3"/>
    <mergeCell ref="Q3:U3"/>
  </mergeCells>
  <pageMargins left="0" right="0" top="1.5748031496063" bottom="1.37795275590551" header="0" footer="0"/>
  <pageSetup paperSize="9" scale="73" fitToHeight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Пользователь</cp:lastModifiedBy>
  <cp:lastPrinted>2026-10-19T12:32:38Z</cp:lastPrinted>
  <dcterms:created xsi:type="dcterms:W3CDTF">2023-09-18T12:19:00Z</dcterms:created>
  <dcterms:modified xsi:type="dcterms:W3CDTF">2026-10-23T05:43:22Z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A58722B94A54471F9630B012B71BE275_12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